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set" sheetId="1" r:id="rId4"/>
    <sheet state="visible" name="Instructions" sheetId="2" r:id="rId5"/>
  </sheets>
  <definedNames>
    <definedName hidden="1" localSheetId="0" name="_xlnm._FilterDatabase">Dataset!$A$1:$AC$50</definedName>
  </definedNames>
  <calcPr/>
  <extLst>
    <ext uri="GoogleSheetsCustomDataVersion2">
      <go:sheetsCustomData xmlns:go="http://customooxmlschemas.google.com/" r:id="rId6" roundtripDataChecksum="yxivit3HWyXLnK7C5zwH6ymM4hMCHOj9MERgnqUeDxo="/>
    </ext>
  </extLst>
</workbook>
</file>

<file path=xl/sharedStrings.xml><?xml version="1.0" encoding="utf-8"?>
<sst xmlns="http://schemas.openxmlformats.org/spreadsheetml/2006/main" count="139" uniqueCount="92">
  <si>
    <t>Product ID</t>
  </si>
  <si>
    <t>Perform the following in the dataset from the 'Dataset' sheet.</t>
  </si>
  <si>
    <t>Day</t>
  </si>
  <si>
    <t>Month</t>
  </si>
  <si>
    <t>Country Code</t>
  </si>
  <si>
    <t>Brand Name</t>
  </si>
  <si>
    <t>Price Range</t>
  </si>
  <si>
    <t>Price</t>
  </si>
  <si>
    <t>Quantity</t>
  </si>
  <si>
    <t>Category</t>
  </si>
  <si>
    <t>28-JAN-US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</si>
  <si>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</si>
  <si>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</si>
  <si>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</si>
  <si>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</si>
  <si>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</si>
  <si>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</si>
  <si>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</si>
  <si>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Dell</t>
  </si>
  <si>
    <t>3) IF Function:</t>
  </si>
  <si>
    <t>• Using an IF function, create a new column named Price Range to categorize products with a price greater than or equal to $500 as 'High Price' and others as 'Standard Price'.</t>
  </si>
  <si>
    <t>Electronics</t>
  </si>
  <si>
    <t>4) SUMIF and COUNTIF:</t>
  </si>
  <si>
    <t>15-FEB-US</t>
  </si>
  <si>
    <t>• Calculate the total price for products in the 'Electronics' category using the SUMIF function.</t>
  </si>
  <si>
    <t>Nike</t>
  </si>
  <si>
    <t>• Determine the count of products with a price less than $100 using the COUNTIF function.</t>
  </si>
  <si>
    <t>Fashion</t>
  </si>
  <si>
    <t>03-MAR-US</t>
  </si>
  <si>
    <t>5) Text Formatting - LEFT, RIGHT, MID:</t>
  </si>
  <si>
    <t>Keurig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</si>
  <si>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</si>
  <si>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</si>
  <si>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Kitchen</t>
  </si>
  <si>
    <t>• Create a new column named Month by extracting 4th to 6th characters from the 'Product ID' column using the MID function.</t>
  </si>
  <si>
    <t>11-APR-US</t>
  </si>
  <si>
    <t>Samsung</t>
  </si>
  <si>
    <t>22-MAY-US</t>
  </si>
  <si>
    <t>North Face</t>
  </si>
  <si>
    <t>Outdoor</t>
  </si>
  <si>
    <t>07-JUN-UK</t>
  </si>
  <si>
    <t>Sony</t>
  </si>
  <si>
    <t>19-JUL-UK</t>
  </si>
  <si>
    <t>Adidas</t>
  </si>
  <si>
    <t>23-AUG-UK</t>
  </si>
  <si>
    <t>Ninja</t>
  </si>
  <si>
    <t>05-SEP-UK</t>
  </si>
  <si>
    <t>Apple</t>
  </si>
  <si>
    <t>14-OCT-UK</t>
  </si>
  <si>
    <t>Timberland</t>
  </si>
  <si>
    <t>17-JUN-IN</t>
  </si>
  <si>
    <t>HP</t>
  </si>
  <si>
    <t>25-NOV-AU</t>
  </si>
  <si>
    <t>08-DEC-DE</t>
  </si>
  <si>
    <t>Nespresso</t>
  </si>
  <si>
    <t>18-FEB-CA</t>
  </si>
  <si>
    <t>Fitbit</t>
  </si>
  <si>
    <t>16-APR-ES</t>
  </si>
  <si>
    <t>Bose</t>
  </si>
  <si>
    <t>21-AUG-CA</t>
  </si>
  <si>
    <t>Samsonite</t>
  </si>
  <si>
    <t>Accessories</t>
  </si>
  <si>
    <t>20-AUG-CN</t>
  </si>
  <si>
    <t>Huawei</t>
  </si>
  <si>
    <t>27-JAN-IT</t>
  </si>
  <si>
    <t>Asus</t>
  </si>
  <si>
    <t>01-MAR-UK</t>
  </si>
  <si>
    <t>Oakley</t>
  </si>
  <si>
    <t>14-AUG-US</t>
  </si>
  <si>
    <t>Coleman</t>
  </si>
  <si>
    <t>14-MAY-RU</t>
  </si>
  <si>
    <t>Nikon</t>
  </si>
  <si>
    <t>09-JAN-CA</t>
  </si>
  <si>
    <t>Panasonic</t>
  </si>
  <si>
    <t>19-JUL-BR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</si>
  <si>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</si>
  <si>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</si>
  <si>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</si>
  <si>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</si>
  <si>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</si>
  <si>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</si>
  <si>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</si>
  <si>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</si>
  <si>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Zara</t>
  </si>
  <si>
    <t>13-APR-CA</t>
  </si>
  <si>
    <t>Hamilton</t>
  </si>
  <si>
    <t>24-MAY-CA</t>
  </si>
  <si>
    <t>Garmin</t>
  </si>
  <si>
    <t>02-DEC-CA</t>
  </si>
  <si>
    <t>Levi's</t>
  </si>
  <si>
    <t>09-JUL-FR</t>
  </si>
  <si>
    <t>Casio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</si>
</sst>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</font>
    <font>
      <b/>
      <sz val="11.0"/>
      <color theme="1"/>
      <name val="Arial"/>
    </font>
    <font>
      <color theme="1"/>
      <name val="Arial"/>
    </font>
    <font>
      <b/>
      <sz val="12.0"/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0" fontId="2" numFmtId="0" xfId="0" applyAlignment="1" applyFont="1">
      <alignment vertical="bottom"/>
    </xf>
    <xf borderId="0" fillId="2" fontId="1" numFmtId="0" xfId="0" applyAlignment="1" applyFill="1" applyFont="1">
      <alignment horizontal="center" readingOrder="0" vertical="bottom"/>
    </xf>
    <xf borderId="0" fillId="0" fontId="3" numFmtId="0" xfId="0" applyAlignment="1" applyFont="1">
      <alignment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6" numFmtId="0" xfId="0" applyFont="1"/>
    <xf borderId="0" fillId="0" fontId="3" numFmtId="0" xfId="0" applyAlignment="1" applyFont="1">
      <alignment horizontal="right" vertical="bottom"/>
    </xf>
    <xf borderId="0" fillId="0" fontId="6" numFmtId="0" xfId="0" applyAlignment="1" applyFont="1">
      <alignment readingOrder="0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right" vertical="bottom"/>
    </xf>
    <xf borderId="0" fillId="0" fontId="3" numFmtId="0" xfId="0" applyFont="1"/>
    <xf borderId="0" fillId="0" fontId="5" numFmtId="0" xfId="0" applyFont="1"/>
    <xf borderId="0" fillId="0" fontId="4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6.38"/>
    <col customWidth="1" min="10" max="10" width="13.88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3" t="s">
        <v>6</v>
      </c>
      <c r="G1" s="3" t="s">
        <v>7</v>
      </c>
      <c r="H1" s="1" t="s">
        <v>8</v>
      </c>
      <c r="I1" s="1" t="s">
        <v>9</v>
      </c>
    </row>
    <row r="2" ht="15.75" customHeight="1">
      <c r="A2" s="4" t="s">
        <v>10</v>
      </c>
      <c r="B2" s="7" t="str">
        <f t="shared" ref="B2:B53" si="1">LEFT(A:A,2)</f>
        <v>28</v>
      </c>
      <c r="C2" s="7" t="str">
        <f t="shared" ref="C2:C35" si="2">MID(A:A,4,3)</f>
        <v>JAN</v>
      </c>
      <c r="D2" s="7" t="str">
        <f t="shared" ref="D2:D35" si="3">RIGHT(A:A,2)</f>
        <v>US</v>
      </c>
      <c r="E2" s="4" t="s">
        <v>18</v>
      </c>
      <c r="F2" s="7" t="str">
        <f t="shared" ref="F2:F35" si="4">if(G2&gt;=500,"High price","Standard Price")</f>
        <v>High price</v>
      </c>
      <c r="G2" s="8">
        <v>1000.0</v>
      </c>
      <c r="H2" s="8">
        <v>30.0</v>
      </c>
      <c r="I2" s="4" t="s">
        <v>21</v>
      </c>
      <c r="J2" s="9" t="s">
        <v>21</v>
      </c>
    </row>
    <row r="3" ht="15.75" customHeight="1">
      <c r="A3" s="10" t="s">
        <v>23</v>
      </c>
      <c r="B3" s="7" t="str">
        <f t="shared" si="1"/>
        <v>15</v>
      </c>
      <c r="C3" s="7" t="str">
        <f t="shared" si="2"/>
        <v>FEB</v>
      </c>
      <c r="D3" s="7" t="str">
        <f t="shared" si="3"/>
        <v>US</v>
      </c>
      <c r="E3" s="10" t="s">
        <v>25</v>
      </c>
      <c r="F3" s="7" t="str">
        <f t="shared" si="4"/>
        <v>Standard Price</v>
      </c>
      <c r="G3" s="11">
        <v>80.0</v>
      </c>
      <c r="H3" s="11">
        <v>15.0</v>
      </c>
      <c r="I3" s="10" t="s">
        <v>27</v>
      </c>
      <c r="K3" s="5" t="s">
        <v>11</v>
      </c>
      <c r="L3" s="4"/>
      <c r="M3" s="4"/>
      <c r="N3" s="4"/>
      <c r="O3" s="4"/>
    </row>
    <row r="4" ht="15.75" customHeight="1">
      <c r="A4" s="4" t="s">
        <v>28</v>
      </c>
      <c r="B4" s="7" t="str">
        <f t="shared" si="1"/>
        <v>03</v>
      </c>
      <c r="C4" s="7" t="str">
        <f t="shared" si="2"/>
        <v>MAR</v>
      </c>
      <c r="D4" s="7" t="str">
        <f t="shared" si="3"/>
        <v>US</v>
      </c>
      <c r="E4" s="4" t="s">
        <v>30</v>
      </c>
      <c r="F4" s="7" t="str">
        <f t="shared" si="4"/>
        <v>Standard Price</v>
      </c>
      <c r="G4" s="8">
        <v>130.0</v>
      </c>
      <c r="H4" s="8">
        <v>40.0</v>
      </c>
      <c r="I4" s="4" t="s">
        <v>33</v>
      </c>
      <c r="K4" s="6" t="s">
        <v>12</v>
      </c>
      <c r="M4" s="4"/>
      <c r="N4" s="4"/>
      <c r="O4" s="4"/>
    </row>
    <row r="5" ht="15.75" customHeight="1">
      <c r="A5" s="10" t="s">
        <v>35</v>
      </c>
      <c r="B5" s="7" t="str">
        <f t="shared" si="1"/>
        <v>11</v>
      </c>
      <c r="C5" s="7" t="str">
        <f t="shared" si="2"/>
        <v>APR</v>
      </c>
      <c r="D5" s="7" t="str">
        <f t="shared" si="3"/>
        <v>US</v>
      </c>
      <c r="E5" s="10" t="s">
        <v>36</v>
      </c>
      <c r="F5" s="7" t="str">
        <f t="shared" si="4"/>
        <v>High price</v>
      </c>
      <c r="G5" s="11">
        <v>900.0</v>
      </c>
      <c r="H5" s="11">
        <v>25.0</v>
      </c>
      <c r="I5" s="10" t="s">
        <v>21</v>
      </c>
      <c r="K5" s="6"/>
      <c r="L5" s="12">
        <f>Sum(G2:G35)</f>
        <v>10100</v>
      </c>
    </row>
    <row r="6" ht="15.75" customHeight="1">
      <c r="A6" s="4" t="s">
        <v>37</v>
      </c>
      <c r="B6" s="7" t="str">
        <f t="shared" si="1"/>
        <v>22</v>
      </c>
      <c r="C6" s="7" t="str">
        <f t="shared" si="2"/>
        <v>MAY</v>
      </c>
      <c r="D6" s="7" t="str">
        <f t="shared" si="3"/>
        <v>US</v>
      </c>
      <c r="E6" s="4" t="s">
        <v>38</v>
      </c>
      <c r="F6" s="7" t="str">
        <f t="shared" si="4"/>
        <v>Standard Price</v>
      </c>
      <c r="G6" s="8">
        <v>70.0</v>
      </c>
      <c r="H6" s="8">
        <v>20.0</v>
      </c>
      <c r="I6" s="4" t="s">
        <v>39</v>
      </c>
      <c r="K6" s="6" t="s">
        <v>13</v>
      </c>
    </row>
    <row r="7" ht="15.75" customHeight="1">
      <c r="A7" s="10" t="s">
        <v>40</v>
      </c>
      <c r="B7" s="7" t="str">
        <f t="shared" si="1"/>
        <v>07</v>
      </c>
      <c r="C7" s="7" t="str">
        <f t="shared" si="2"/>
        <v>JUN</v>
      </c>
      <c r="D7" s="7" t="str">
        <f t="shared" si="3"/>
        <v>UK</v>
      </c>
      <c r="E7" s="10" t="s">
        <v>41</v>
      </c>
      <c r="F7" s="7" t="str">
        <f t="shared" si="4"/>
        <v>Standard Price</v>
      </c>
      <c r="G7" s="11">
        <v>200.0</v>
      </c>
      <c r="H7" s="11">
        <v>45.0</v>
      </c>
      <c r="I7" s="10" t="s">
        <v>21</v>
      </c>
      <c r="L7" s="9">
        <v>21.0</v>
      </c>
    </row>
    <row r="8" ht="15.75" customHeight="1">
      <c r="A8" s="4" t="s">
        <v>42</v>
      </c>
      <c r="B8" s="7" t="str">
        <f t="shared" si="1"/>
        <v>19</v>
      </c>
      <c r="C8" s="7" t="str">
        <f t="shared" si="2"/>
        <v>JUL</v>
      </c>
      <c r="D8" s="7" t="str">
        <f t="shared" si="3"/>
        <v>UK</v>
      </c>
      <c r="E8" s="4" t="s">
        <v>43</v>
      </c>
      <c r="F8" s="7" t="str">
        <f t="shared" si="4"/>
        <v>Standard Price</v>
      </c>
      <c r="G8" s="8">
        <v>30.0</v>
      </c>
      <c r="H8" s="8">
        <v>5.0</v>
      </c>
      <c r="I8" s="4" t="s">
        <v>27</v>
      </c>
      <c r="K8" s="6" t="s">
        <v>14</v>
      </c>
    </row>
    <row r="9" ht="15.75" customHeight="1">
      <c r="A9" s="10" t="s">
        <v>44</v>
      </c>
      <c r="B9" s="7" t="str">
        <f t="shared" si="1"/>
        <v>23</v>
      </c>
      <c r="C9" s="7" t="str">
        <f t="shared" si="2"/>
        <v>AUG</v>
      </c>
      <c r="D9" s="7" t="str">
        <f t="shared" si="3"/>
        <v>UK</v>
      </c>
      <c r="E9" s="10" t="s">
        <v>45</v>
      </c>
      <c r="F9" s="7" t="str">
        <f t="shared" si="4"/>
        <v>Standard Price</v>
      </c>
      <c r="G9" s="11">
        <v>90.0</v>
      </c>
      <c r="H9" s="11">
        <v>35.0</v>
      </c>
      <c r="I9" s="10" t="s">
        <v>33</v>
      </c>
      <c r="L9" s="7">
        <f>AVERAGE(G:G)</f>
        <v>297.0588235</v>
      </c>
    </row>
    <row r="10" ht="15.75" customHeight="1">
      <c r="A10" s="4" t="s">
        <v>46</v>
      </c>
      <c r="B10" s="7" t="str">
        <f t="shared" si="1"/>
        <v>05</v>
      </c>
      <c r="C10" s="7" t="str">
        <f t="shared" si="2"/>
        <v>SEP</v>
      </c>
      <c r="D10" s="7" t="str">
        <f t="shared" si="3"/>
        <v>UK</v>
      </c>
      <c r="E10" s="4" t="s">
        <v>47</v>
      </c>
      <c r="F10" s="7" t="str">
        <f t="shared" si="4"/>
        <v>High price</v>
      </c>
      <c r="G10" s="8">
        <v>500.0</v>
      </c>
      <c r="H10" s="8">
        <v>50.0</v>
      </c>
      <c r="I10" s="4" t="s">
        <v>21</v>
      </c>
      <c r="K10" s="5" t="s">
        <v>15</v>
      </c>
    </row>
    <row r="11" ht="15.75" customHeight="1">
      <c r="A11" s="10" t="s">
        <v>48</v>
      </c>
      <c r="B11" s="7" t="str">
        <f t="shared" si="1"/>
        <v>14</v>
      </c>
      <c r="C11" s="7" t="str">
        <f t="shared" si="2"/>
        <v>OCT</v>
      </c>
      <c r="D11" s="7" t="str">
        <f t="shared" si="3"/>
        <v>UK</v>
      </c>
      <c r="E11" s="10" t="s">
        <v>49</v>
      </c>
      <c r="F11" s="7" t="str">
        <f t="shared" si="4"/>
        <v>Standard Price</v>
      </c>
      <c r="G11" s="11">
        <v>130.0</v>
      </c>
      <c r="H11" s="11">
        <v>10.0</v>
      </c>
      <c r="I11" s="10" t="s">
        <v>39</v>
      </c>
      <c r="K11" s="6" t="s">
        <v>16</v>
      </c>
    </row>
    <row r="12" ht="15.75" customHeight="1">
      <c r="A12" s="4" t="s">
        <v>50</v>
      </c>
      <c r="B12" s="7" t="str">
        <f t="shared" si="1"/>
        <v>17</v>
      </c>
      <c r="C12" s="7" t="str">
        <f t="shared" si="2"/>
        <v>JUN</v>
      </c>
      <c r="D12" s="7" t="str">
        <f t="shared" si="3"/>
        <v>IN</v>
      </c>
      <c r="E12" s="4" t="s">
        <v>51</v>
      </c>
      <c r="F12" s="7" t="str">
        <f t="shared" si="4"/>
        <v>High price</v>
      </c>
      <c r="G12" s="8">
        <v>950.0</v>
      </c>
      <c r="H12" s="8">
        <v>25.0</v>
      </c>
      <c r="I12" s="4" t="s">
        <v>21</v>
      </c>
      <c r="L12" s="7">
        <f>min(G:G)</f>
        <v>30</v>
      </c>
    </row>
    <row r="13" ht="15.75" customHeight="1">
      <c r="A13" s="10" t="s">
        <v>52</v>
      </c>
      <c r="B13" s="7" t="str">
        <f t="shared" si="1"/>
        <v>25</v>
      </c>
      <c r="C13" s="7" t="str">
        <f t="shared" si="2"/>
        <v>NOV</v>
      </c>
      <c r="D13" s="7" t="str">
        <f t="shared" si="3"/>
        <v>AU</v>
      </c>
      <c r="E13" s="10" t="s">
        <v>43</v>
      </c>
      <c r="F13" s="7" t="str">
        <f t="shared" si="4"/>
        <v>Standard Price</v>
      </c>
      <c r="G13" s="11">
        <v>90.0</v>
      </c>
      <c r="H13" s="11">
        <v>40.0</v>
      </c>
      <c r="I13" s="10" t="s">
        <v>27</v>
      </c>
      <c r="K13" s="6" t="s">
        <v>17</v>
      </c>
    </row>
    <row r="14" ht="15.75" customHeight="1">
      <c r="A14" s="4" t="s">
        <v>53</v>
      </c>
      <c r="B14" s="7" t="str">
        <f t="shared" si="1"/>
        <v>08</v>
      </c>
      <c r="C14" s="7" t="str">
        <f t="shared" si="2"/>
        <v>DEC</v>
      </c>
      <c r="D14" s="7" t="str">
        <f t="shared" si="3"/>
        <v>DE</v>
      </c>
      <c r="E14" s="4" t="s">
        <v>54</v>
      </c>
      <c r="F14" s="7" t="str">
        <f t="shared" si="4"/>
        <v>Standard Price</v>
      </c>
      <c r="G14" s="8">
        <v>120.0</v>
      </c>
      <c r="H14" s="8">
        <v>35.0</v>
      </c>
      <c r="I14" s="4" t="s">
        <v>33</v>
      </c>
      <c r="L14" s="7">
        <f>MAX(G:G)</f>
        <v>1000</v>
      </c>
    </row>
    <row r="15" ht="15.75" customHeight="1">
      <c r="A15" s="10" t="s">
        <v>55</v>
      </c>
      <c r="B15" s="7" t="str">
        <f t="shared" si="1"/>
        <v>18</v>
      </c>
      <c r="C15" s="7" t="str">
        <f t="shared" si="2"/>
        <v>FEB</v>
      </c>
      <c r="D15" s="7" t="str">
        <f t="shared" si="3"/>
        <v>CA</v>
      </c>
      <c r="E15" s="10" t="s">
        <v>56</v>
      </c>
      <c r="F15" s="7" t="str">
        <f t="shared" si="4"/>
        <v>Standard Price</v>
      </c>
      <c r="G15" s="11">
        <v>150.0</v>
      </c>
      <c r="H15" s="11">
        <v>15.0</v>
      </c>
      <c r="I15" s="10" t="s">
        <v>21</v>
      </c>
      <c r="K15" s="5" t="s">
        <v>22</v>
      </c>
      <c r="L15" s="4"/>
      <c r="M15" s="4"/>
      <c r="N15" s="4"/>
    </row>
    <row r="16" ht="15.75" customHeight="1">
      <c r="A16" s="4" t="s">
        <v>57</v>
      </c>
      <c r="B16" s="7" t="str">
        <f t="shared" si="1"/>
        <v>16</v>
      </c>
      <c r="C16" s="7" t="str">
        <f t="shared" si="2"/>
        <v>APR</v>
      </c>
      <c r="D16" s="7" t="str">
        <f t="shared" si="3"/>
        <v>ES</v>
      </c>
      <c r="E16" s="4" t="s">
        <v>58</v>
      </c>
      <c r="F16" s="7" t="str">
        <f t="shared" si="4"/>
        <v>Standard Price</v>
      </c>
      <c r="G16" s="8">
        <v>250.0</v>
      </c>
      <c r="H16" s="8">
        <v>20.0</v>
      </c>
      <c r="I16" s="4" t="s">
        <v>21</v>
      </c>
      <c r="K16" s="6" t="s">
        <v>24</v>
      </c>
      <c r="M16" s="4"/>
      <c r="N16" s="4"/>
      <c r="O16" s="4"/>
      <c r="P16" s="4"/>
      <c r="Q16" s="4"/>
    </row>
    <row r="17" ht="15.75" customHeight="1">
      <c r="A17" s="10" t="s">
        <v>59</v>
      </c>
      <c r="B17" s="7" t="str">
        <f t="shared" si="1"/>
        <v>21</v>
      </c>
      <c r="C17" s="7" t="str">
        <f t="shared" si="2"/>
        <v>AUG</v>
      </c>
      <c r="D17" s="7" t="str">
        <f t="shared" si="3"/>
        <v>CA</v>
      </c>
      <c r="E17" s="10" t="s">
        <v>60</v>
      </c>
      <c r="F17" s="7" t="str">
        <f t="shared" si="4"/>
        <v>Standard Price</v>
      </c>
      <c r="G17" s="11">
        <v>50.0</v>
      </c>
      <c r="H17" s="11">
        <v>35.0</v>
      </c>
      <c r="I17" s="10" t="s">
        <v>61</v>
      </c>
      <c r="O17" s="4"/>
      <c r="P17" s="4"/>
      <c r="Q17" s="4"/>
    </row>
    <row r="18" ht="15.75" customHeight="1">
      <c r="A18" s="4" t="s">
        <v>62</v>
      </c>
      <c r="B18" s="7" t="str">
        <f t="shared" si="1"/>
        <v>20</v>
      </c>
      <c r="C18" s="7" t="str">
        <f t="shared" si="2"/>
        <v>AUG</v>
      </c>
      <c r="D18" s="7" t="str">
        <f t="shared" si="3"/>
        <v>CN</v>
      </c>
      <c r="E18" s="4" t="s">
        <v>63</v>
      </c>
      <c r="F18" s="7" t="str">
        <f t="shared" si="4"/>
        <v>Standard Price</v>
      </c>
      <c r="G18" s="8">
        <v>160.0</v>
      </c>
      <c r="H18" s="8">
        <v>15.0</v>
      </c>
      <c r="I18" s="4" t="s">
        <v>21</v>
      </c>
    </row>
    <row r="19" ht="15.75" customHeight="1">
      <c r="A19" s="10" t="s">
        <v>64</v>
      </c>
      <c r="B19" s="7" t="str">
        <f t="shared" si="1"/>
        <v>27</v>
      </c>
      <c r="C19" s="7" t="str">
        <f t="shared" si="2"/>
        <v>JAN</v>
      </c>
      <c r="D19" s="7" t="str">
        <f t="shared" si="3"/>
        <v>IT</v>
      </c>
      <c r="E19" s="10" t="s">
        <v>65</v>
      </c>
      <c r="F19" s="7" t="str">
        <f t="shared" si="4"/>
        <v>High price</v>
      </c>
      <c r="G19" s="11">
        <v>980.0</v>
      </c>
      <c r="H19" s="11">
        <v>10.0</v>
      </c>
      <c r="I19" s="10" t="s">
        <v>21</v>
      </c>
      <c r="K19" s="13" t="s">
        <v>26</v>
      </c>
    </row>
    <row r="20" ht="15.75" customHeight="1">
      <c r="A20" s="4" t="s">
        <v>66</v>
      </c>
      <c r="B20" s="7" t="str">
        <f t="shared" si="1"/>
        <v>01</v>
      </c>
      <c r="C20" s="7" t="str">
        <f t="shared" si="2"/>
        <v>MAR</v>
      </c>
      <c r="D20" s="7" t="str">
        <f t="shared" si="3"/>
        <v>UK</v>
      </c>
      <c r="E20" s="4" t="s">
        <v>67</v>
      </c>
      <c r="F20" s="7" t="str">
        <f t="shared" si="4"/>
        <v>Standard Price</v>
      </c>
      <c r="G20" s="8">
        <v>150.0</v>
      </c>
      <c r="H20" s="8">
        <v>15.0</v>
      </c>
      <c r="I20" s="4" t="s">
        <v>27</v>
      </c>
    </row>
    <row r="21" ht="15.75" customHeight="1">
      <c r="A21" s="10" t="s">
        <v>68</v>
      </c>
      <c r="B21" s="7" t="str">
        <f t="shared" si="1"/>
        <v>14</v>
      </c>
      <c r="C21" s="7" t="str">
        <f t="shared" si="2"/>
        <v>AUG</v>
      </c>
      <c r="D21" s="7" t="str">
        <f t="shared" si="3"/>
        <v>US</v>
      </c>
      <c r="E21" s="10" t="s">
        <v>69</v>
      </c>
      <c r="F21" s="7" t="str">
        <f t="shared" si="4"/>
        <v>Standard Price</v>
      </c>
      <c r="G21" s="11">
        <v>200.0</v>
      </c>
      <c r="H21" s="11">
        <v>10.0</v>
      </c>
      <c r="I21" s="10" t="s">
        <v>39</v>
      </c>
      <c r="K21" s="14"/>
      <c r="L21" s="15"/>
    </row>
    <row r="22" ht="15.75" customHeight="1">
      <c r="A22" s="4" t="s">
        <v>70</v>
      </c>
      <c r="B22" s="7" t="str">
        <f t="shared" si="1"/>
        <v>14</v>
      </c>
      <c r="C22" s="7" t="str">
        <f t="shared" si="2"/>
        <v>MAY</v>
      </c>
      <c r="D22" s="7" t="str">
        <f t="shared" si="3"/>
        <v>RU</v>
      </c>
      <c r="E22" s="4" t="s">
        <v>71</v>
      </c>
      <c r="F22" s="7" t="str">
        <f t="shared" si="4"/>
        <v>High price</v>
      </c>
      <c r="G22" s="8">
        <v>700.0</v>
      </c>
      <c r="H22" s="8">
        <v>50.0</v>
      </c>
      <c r="I22" s="4" t="s">
        <v>21</v>
      </c>
    </row>
    <row r="23" ht="15.75" customHeight="1">
      <c r="A23" s="10" t="s">
        <v>72</v>
      </c>
      <c r="B23" s="7" t="str">
        <f t="shared" si="1"/>
        <v>09</v>
      </c>
      <c r="C23" s="7" t="str">
        <f t="shared" si="2"/>
        <v>JAN</v>
      </c>
      <c r="D23" s="7" t="str">
        <f t="shared" si="3"/>
        <v>CA</v>
      </c>
      <c r="E23" s="10" t="s">
        <v>73</v>
      </c>
      <c r="F23" s="7" t="str">
        <f t="shared" si="4"/>
        <v>Standard Price</v>
      </c>
      <c r="G23" s="11">
        <v>80.0</v>
      </c>
      <c r="H23" s="11">
        <v>20.0</v>
      </c>
      <c r="I23" s="10" t="s">
        <v>33</v>
      </c>
      <c r="K23" s="16"/>
    </row>
    <row r="24" ht="15.75" customHeight="1">
      <c r="A24" s="4" t="s">
        <v>74</v>
      </c>
      <c r="B24" s="7" t="str">
        <f t="shared" si="1"/>
        <v>19</v>
      </c>
      <c r="C24" s="7" t="str">
        <f t="shared" si="2"/>
        <v>JUL</v>
      </c>
      <c r="D24" s="7" t="str">
        <f t="shared" si="3"/>
        <v>BR</v>
      </c>
      <c r="E24" s="4" t="s">
        <v>75</v>
      </c>
      <c r="F24" s="7" t="str">
        <f t="shared" si="4"/>
        <v>Standard Price</v>
      </c>
      <c r="G24" s="8">
        <v>150.0</v>
      </c>
      <c r="H24" s="8">
        <v>30.0</v>
      </c>
      <c r="I24" s="4" t="s">
        <v>21</v>
      </c>
      <c r="M24" s="15"/>
      <c r="N24" s="15"/>
      <c r="O24" s="15"/>
      <c r="P24" s="15"/>
      <c r="Q24" s="15"/>
      <c r="R24" s="15"/>
      <c r="S24" s="15"/>
      <c r="T24" s="15"/>
    </row>
    <row r="25" ht="15.75" customHeight="1">
      <c r="A25" s="10" t="s">
        <v>59</v>
      </c>
      <c r="B25" s="7" t="str">
        <f t="shared" si="1"/>
        <v>21</v>
      </c>
      <c r="C25" s="7" t="str">
        <f t="shared" si="2"/>
        <v>AUG</v>
      </c>
      <c r="D25" s="7" t="str">
        <f t="shared" si="3"/>
        <v>CA</v>
      </c>
      <c r="E25" s="10" t="s">
        <v>60</v>
      </c>
      <c r="F25" s="7" t="str">
        <f t="shared" si="4"/>
        <v>Standard Price</v>
      </c>
      <c r="G25" s="11">
        <v>50.0</v>
      </c>
      <c r="H25" s="11">
        <v>35.0</v>
      </c>
      <c r="I25" s="10" t="s">
        <v>61</v>
      </c>
      <c r="K25" s="16"/>
    </row>
    <row r="26" ht="15.75" customHeight="1">
      <c r="A26" s="4" t="s">
        <v>76</v>
      </c>
      <c r="B26" s="7" t="str">
        <f t="shared" si="1"/>
        <v>29</v>
      </c>
      <c r="C26" s="7" t="str">
        <f t="shared" si="2"/>
        <v>SEP</v>
      </c>
      <c r="D26" s="7" t="str">
        <f t="shared" si="3"/>
        <v>CA</v>
      </c>
      <c r="E26" s="4" t="s">
        <v>77</v>
      </c>
      <c r="F26" s="7" t="str">
        <f t="shared" si="4"/>
        <v>High price</v>
      </c>
      <c r="G26" s="8">
        <v>800.0</v>
      </c>
      <c r="H26" s="8">
        <v>45.0</v>
      </c>
      <c r="I26" s="4" t="s">
        <v>21</v>
      </c>
      <c r="M26" s="15"/>
      <c r="N26" s="15"/>
      <c r="O26" s="15"/>
      <c r="P26" s="15"/>
      <c r="Q26" s="15"/>
      <c r="R26" s="15"/>
      <c r="S26" s="15"/>
      <c r="T26" s="15"/>
    </row>
    <row r="27" ht="15.75" customHeight="1">
      <c r="A27" s="10" t="s">
        <v>78</v>
      </c>
      <c r="B27" s="7" t="str">
        <f t="shared" si="1"/>
        <v>03</v>
      </c>
      <c r="C27" s="7" t="str">
        <f t="shared" si="2"/>
        <v>JUN</v>
      </c>
      <c r="D27" s="7" t="str">
        <f t="shared" si="3"/>
        <v>CA</v>
      </c>
      <c r="E27" s="10" t="s">
        <v>79</v>
      </c>
      <c r="F27" s="7" t="str">
        <f t="shared" si="4"/>
        <v>Standard Price</v>
      </c>
      <c r="G27" s="11">
        <v>130.0</v>
      </c>
      <c r="H27" s="11">
        <v>25.0</v>
      </c>
      <c r="I27" s="10" t="s">
        <v>27</v>
      </c>
      <c r="K27" s="16"/>
    </row>
    <row r="28" ht="15.75" customHeight="1">
      <c r="A28" s="4" t="s">
        <v>80</v>
      </c>
      <c r="B28" s="7" t="str">
        <f t="shared" si="1"/>
        <v>11</v>
      </c>
      <c r="C28" s="7" t="str">
        <f t="shared" si="2"/>
        <v>JUL</v>
      </c>
      <c r="D28" s="7" t="str">
        <f t="shared" si="3"/>
        <v>CA</v>
      </c>
      <c r="E28" s="4" t="s">
        <v>81</v>
      </c>
      <c r="F28" s="7" t="str">
        <f t="shared" si="4"/>
        <v>Standard Price</v>
      </c>
      <c r="G28" s="8">
        <v>400.0</v>
      </c>
      <c r="H28" s="8">
        <v>40.0</v>
      </c>
      <c r="I28" s="4" t="s">
        <v>33</v>
      </c>
    </row>
    <row r="29" ht="15.75" customHeight="1">
      <c r="A29" s="10" t="s">
        <v>57</v>
      </c>
      <c r="B29" s="7" t="str">
        <f t="shared" si="1"/>
        <v>16</v>
      </c>
      <c r="C29" s="7" t="str">
        <f t="shared" si="2"/>
        <v>APR</v>
      </c>
      <c r="D29" s="7" t="str">
        <f t="shared" si="3"/>
        <v>ES</v>
      </c>
      <c r="E29" s="10" t="s">
        <v>58</v>
      </c>
      <c r="F29" s="7" t="str">
        <f t="shared" si="4"/>
        <v>Standard Price</v>
      </c>
      <c r="G29" s="11">
        <v>230.0</v>
      </c>
      <c r="H29" s="11">
        <v>20.0</v>
      </c>
      <c r="I29" s="10" t="s">
        <v>21</v>
      </c>
      <c r="M29" s="15"/>
      <c r="N29" s="15"/>
      <c r="O29" s="15"/>
      <c r="P29" s="15"/>
      <c r="Q29" s="15"/>
      <c r="R29" s="15"/>
      <c r="S29" s="15"/>
      <c r="T29" s="15"/>
    </row>
    <row r="30" ht="15.75" customHeight="1">
      <c r="A30" s="4" t="s">
        <v>82</v>
      </c>
      <c r="B30" s="7" t="str">
        <f t="shared" si="1"/>
        <v>07</v>
      </c>
      <c r="C30" s="7" t="str">
        <f t="shared" si="2"/>
        <v>MAR</v>
      </c>
      <c r="D30" s="7" t="str">
        <f t="shared" si="3"/>
        <v>CA</v>
      </c>
      <c r="E30" s="4" t="s">
        <v>83</v>
      </c>
      <c r="F30" s="7" t="str">
        <f t="shared" si="4"/>
        <v>Standard Price</v>
      </c>
      <c r="G30" s="8">
        <v>60.0</v>
      </c>
      <c r="H30" s="8">
        <v>30.0</v>
      </c>
      <c r="I30" s="4" t="s">
        <v>27</v>
      </c>
    </row>
    <row r="31" ht="15.75" customHeight="1">
      <c r="A31" s="10" t="s">
        <v>84</v>
      </c>
      <c r="B31" s="7" t="str">
        <f t="shared" si="1"/>
        <v>13</v>
      </c>
      <c r="C31" s="7" t="str">
        <f t="shared" si="2"/>
        <v>APR</v>
      </c>
      <c r="D31" s="7" t="str">
        <f t="shared" si="3"/>
        <v>CA</v>
      </c>
      <c r="E31" s="10" t="s">
        <v>85</v>
      </c>
      <c r="F31" s="7" t="str">
        <f t="shared" si="4"/>
        <v>Standard Price</v>
      </c>
      <c r="G31" s="11">
        <v>40.0</v>
      </c>
      <c r="H31" s="11">
        <v>10.0</v>
      </c>
      <c r="I31" s="10" t="s">
        <v>33</v>
      </c>
    </row>
    <row r="32" ht="15.75" customHeight="1">
      <c r="A32" s="4" t="s">
        <v>86</v>
      </c>
      <c r="B32" s="7" t="str">
        <f t="shared" si="1"/>
        <v>24</v>
      </c>
      <c r="C32" s="7" t="str">
        <f t="shared" si="2"/>
        <v>MAY</v>
      </c>
      <c r="D32" s="7" t="str">
        <f t="shared" si="3"/>
        <v>CA</v>
      </c>
      <c r="E32" s="4" t="s">
        <v>87</v>
      </c>
      <c r="F32" s="7" t="str">
        <f t="shared" si="4"/>
        <v>Standard Price</v>
      </c>
      <c r="G32" s="8">
        <v>130.0</v>
      </c>
      <c r="H32" s="8">
        <v>5.0</v>
      </c>
      <c r="I32" s="4" t="s">
        <v>21</v>
      </c>
      <c r="M32" s="15"/>
      <c r="N32" s="15"/>
      <c r="O32" s="15"/>
      <c r="P32" s="15"/>
      <c r="Q32" s="15"/>
      <c r="R32" s="15"/>
      <c r="S32" s="15"/>
      <c r="T32" s="15"/>
    </row>
    <row r="33" ht="15.75" customHeight="1">
      <c r="A33" s="10" t="s">
        <v>88</v>
      </c>
      <c r="B33" s="7" t="str">
        <f t="shared" si="1"/>
        <v>02</v>
      </c>
      <c r="C33" s="7" t="str">
        <f t="shared" si="2"/>
        <v>DEC</v>
      </c>
      <c r="D33" s="7" t="str">
        <f t="shared" si="3"/>
        <v>CA</v>
      </c>
      <c r="E33" s="10" t="s">
        <v>89</v>
      </c>
      <c r="F33" s="7" t="str">
        <f t="shared" si="4"/>
        <v>Standard Price</v>
      </c>
      <c r="G33" s="11">
        <v>50.0</v>
      </c>
      <c r="H33" s="11">
        <v>50.0</v>
      </c>
      <c r="I33" s="10" t="s">
        <v>27</v>
      </c>
    </row>
    <row r="34" ht="15.75" customHeight="1">
      <c r="A34" s="4" t="s">
        <v>50</v>
      </c>
      <c r="B34" s="7" t="str">
        <f t="shared" si="1"/>
        <v>17</v>
      </c>
      <c r="C34" s="7" t="str">
        <f t="shared" si="2"/>
        <v>JUN</v>
      </c>
      <c r="D34" s="7" t="str">
        <f t="shared" si="3"/>
        <v>IN</v>
      </c>
      <c r="E34" s="4" t="s">
        <v>51</v>
      </c>
      <c r="F34" s="7" t="str">
        <f t="shared" si="4"/>
        <v>High price</v>
      </c>
      <c r="G34" s="8">
        <v>950.0</v>
      </c>
      <c r="H34" s="8">
        <v>25.0</v>
      </c>
      <c r="I34" s="4" t="s">
        <v>21</v>
      </c>
    </row>
    <row r="35" ht="15.75" customHeight="1">
      <c r="A35" s="10" t="s">
        <v>90</v>
      </c>
      <c r="B35" s="7" t="str">
        <f t="shared" si="1"/>
        <v>09</v>
      </c>
      <c r="C35" s="7" t="str">
        <f t="shared" si="2"/>
        <v>JUL</v>
      </c>
      <c r="D35" s="7" t="str">
        <f t="shared" si="3"/>
        <v>FR</v>
      </c>
      <c r="E35" s="10" t="s">
        <v>91</v>
      </c>
      <c r="F35" s="7" t="str">
        <f t="shared" si="4"/>
        <v>Standard Price</v>
      </c>
      <c r="G35" s="11">
        <v>100.0</v>
      </c>
      <c r="H35" s="11">
        <v>20.0</v>
      </c>
      <c r="I35" s="10" t="s">
        <v>61</v>
      </c>
    </row>
    <row r="36" ht="15.75" customHeight="1">
      <c r="B36" s="7" t="str">
        <f t="shared" si="1"/>
        <v/>
      </c>
    </row>
    <row r="37" ht="15.75" customHeight="1">
      <c r="B37" s="7" t="str">
        <f t="shared" si="1"/>
        <v/>
      </c>
    </row>
    <row r="38" ht="15.75" customHeight="1">
      <c r="B38" s="7" t="str">
        <f t="shared" si="1"/>
        <v/>
      </c>
    </row>
    <row r="39" ht="15.75" customHeight="1">
      <c r="B39" s="7" t="str">
        <f t="shared" si="1"/>
        <v/>
      </c>
    </row>
    <row r="40" ht="15.75" customHeight="1">
      <c r="B40" s="7" t="str">
        <f t="shared" si="1"/>
        <v/>
      </c>
    </row>
    <row r="41" ht="15.75" customHeight="1">
      <c r="B41" s="7" t="str">
        <f t="shared" si="1"/>
        <v/>
      </c>
    </row>
    <row r="42" ht="15.75" customHeight="1">
      <c r="B42" s="7" t="str">
        <f t="shared" si="1"/>
        <v/>
      </c>
    </row>
    <row r="43" ht="15.75" customHeight="1">
      <c r="B43" s="7" t="str">
        <f t="shared" si="1"/>
        <v/>
      </c>
    </row>
    <row r="44" ht="15.75" customHeight="1">
      <c r="B44" s="7" t="str">
        <f t="shared" si="1"/>
        <v/>
      </c>
    </row>
    <row r="45" ht="15.75" customHeight="1">
      <c r="B45" s="7" t="str">
        <f t="shared" si="1"/>
        <v/>
      </c>
    </row>
    <row r="46" ht="15.75" customHeight="1">
      <c r="B46" s="7" t="str">
        <f t="shared" si="1"/>
        <v/>
      </c>
    </row>
    <row r="47" ht="15.75" customHeight="1">
      <c r="B47" s="7" t="str">
        <f t="shared" si="1"/>
        <v/>
      </c>
    </row>
    <row r="48" ht="15.75" customHeight="1">
      <c r="B48" s="7" t="str">
        <f t="shared" si="1"/>
        <v/>
      </c>
    </row>
    <row r="49" ht="15.75" customHeight="1">
      <c r="B49" s="7" t="str">
        <f t="shared" si="1"/>
        <v/>
      </c>
    </row>
    <row r="50" ht="15.75" customHeight="1">
      <c r="B50" s="7" t="str">
        <f t="shared" si="1"/>
        <v/>
      </c>
    </row>
    <row r="51" ht="15.75" customHeight="1">
      <c r="B51" s="7" t="str">
        <f t="shared" si="1"/>
        <v/>
      </c>
    </row>
    <row r="52" ht="15.75" customHeight="1">
      <c r="B52" s="7" t="str">
        <f t="shared" si="1"/>
        <v/>
      </c>
    </row>
    <row r="53" ht="15.75" customHeight="1">
      <c r="B53" s="7" t="str">
        <f t="shared" si="1"/>
        <v/>
      </c>
    </row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AC$5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 ht="15.75" customHeight="1">
      <c r="A1" s="2" t="s">
        <v>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4"/>
      <c r="B3" s="5" t="s">
        <v>11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4"/>
      <c r="B4" s="4"/>
      <c r="C4" s="6" t="s">
        <v>12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4"/>
      <c r="B5" s="4"/>
      <c r="C5" s="6" t="s">
        <v>13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4"/>
      <c r="B6" s="4"/>
      <c r="C6" s="6" t="s">
        <v>14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4"/>
      <c r="B8" s="5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4"/>
      <c r="B9" s="4"/>
      <c r="C9" s="6" t="s">
        <v>16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4"/>
      <c r="B10" s="4"/>
      <c r="C10" s="6" t="s">
        <v>17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4"/>
      <c r="B12" s="5" t="s">
        <v>19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4"/>
      <c r="B13" s="4"/>
      <c r="C13" s="6" t="s">
        <v>20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4"/>
      <c r="B15" s="5" t="s">
        <v>22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4"/>
      <c r="B16" s="4"/>
      <c r="C16" s="6" t="s">
        <v>24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4"/>
      <c r="B17" s="4"/>
      <c r="C17" s="6" t="s">
        <v>26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4"/>
      <c r="B19" s="5" t="s">
        <v>29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4"/>
      <c r="B20" s="4"/>
      <c r="C20" s="6" t="s">
        <v>31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6" t="s">
        <v>32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6" t="s">
        <v>34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