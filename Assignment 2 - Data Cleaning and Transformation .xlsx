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1.Entri  DATA ANALYSIS\4.Assignments\"/>
    </mc:Choice>
  </mc:AlternateContent>
  <xr:revisionPtr revIDLastSave="0" documentId="13_ncr:1_{DB712E66-DBDA-4AFD-AEF6-8F5DE20B656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Dataset!$A$2:$K$35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26" i="2" l="1"/>
  <c r="F25" i="2"/>
  <c r="J18" i="2"/>
  <c r="F17" i="2"/>
  <c r="J10" i="2"/>
  <c r="F9" i="2"/>
  <c r="J7" i="2"/>
  <c r="J2" i="2"/>
  <c r="J3" i="2"/>
  <c r="J4" i="2"/>
  <c r="J5" i="2"/>
  <c r="J6" i="2"/>
  <c r="J8" i="2"/>
  <c r="J11" i="2"/>
  <c r="J12" i="2"/>
  <c r="J13" i="2"/>
  <c r="J14" i="2"/>
  <c r="J15" i="2"/>
  <c r="J16" i="2"/>
  <c r="J19" i="2"/>
  <c r="J20" i="2"/>
  <c r="J21" i="2"/>
  <c r="J22" i="2"/>
  <c r="J23" i="2"/>
  <c r="J24" i="2"/>
  <c r="J26" i="2"/>
  <c r="J27" i="2"/>
  <c r="J28" i="2"/>
  <c r="J29" i="2"/>
  <c r="J30" i="2"/>
  <c r="J31" i="2"/>
  <c r="J32" i="2"/>
  <c r="F3" i="2"/>
  <c r="F4" i="2"/>
  <c r="F5" i="2"/>
  <c r="F6" i="2"/>
  <c r="F7" i="2"/>
  <c r="F8" i="2"/>
  <c r="F11" i="2"/>
  <c r="F12" i="2"/>
  <c r="F13" i="2"/>
  <c r="F14" i="2"/>
  <c r="F15" i="2"/>
  <c r="F16" i="2"/>
  <c r="F19" i="2"/>
  <c r="F20" i="2"/>
  <c r="F21" i="2"/>
  <c r="F22" i="2"/>
  <c r="F23" i="2"/>
  <c r="F24" i="2"/>
  <c r="F27" i="2"/>
  <c r="F28" i="2"/>
  <c r="F29" i="2"/>
  <c r="F30" i="2"/>
  <c r="F31" i="2"/>
  <c r="F3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F18" i="2" l="1"/>
  <c r="F10" i="2"/>
  <c r="J25" i="2"/>
  <c r="J17" i="2"/>
  <c r="J9" i="2"/>
  <c r="F2" i="2"/>
  <c r="K3" i="2" l="1"/>
</calcChain>
</file>

<file path=xl/sharedStrings.xml><?xml version="1.0" encoding="utf-8"?>
<sst xmlns="http://schemas.openxmlformats.org/spreadsheetml/2006/main" count="158" uniqueCount="123">
  <si>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</si>
  <si>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</si>
  <si>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</si>
  <si>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</si>
  <si>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</si>
  <si>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</si>
  <si>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</si>
  <si>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</si>
  <si>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</si>
  <si>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</si>
  <si>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</si>
  <si>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</si>
  <si>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</si>
  <si>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</si>
  <si>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</si>
  <si>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</si>
  <si>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</si>
  <si>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</si>
  <si>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</si>
  <si>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</si>
  <si>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</si>
  <si>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</si>
  <si>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</si>
  <si>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</si>
  <si>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</si>
  <si>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</si>
  <si>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</si>
  <si>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</si>
  <si>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</si>
  <si>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</si>
  <si>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</si>
  <si>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</si>
  <si>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</si>
  <si>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</si>
  <si>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</si>
  <si>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</si>
  <si>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</si>
  <si>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</si>
  <si>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</si>
  <si>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</si>
  <si>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</si>
  <si>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</si>
  <si>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</si>
  <si>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</si>
  <si>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</si>
  <si>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</si>
  <si>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</si>
  <si>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</si>
  <si>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</si>
  <si>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</si>
  <si>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</si>
  <si>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</si>
  <si>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</si>
  <si>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</si>
  <si>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</si>
  <si>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</si>
  <si>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</si>
  <si>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</si>
  <si>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</si>
  <si>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</si>
  <si>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</si>
  <si>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</si>
  <si>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</si>
  <si>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</si>
  <si>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</si>
  <si>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</si>
  <si>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</si>
  <si>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</si>
  <si>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</si>
  <si>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</si>
  <si>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</si>
  <si>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</si>
  <si>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</si>
  <si>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</si>
  <si>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</si>
  <si>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</si>
  <si>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</si>
  <si>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</si>
  <si>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</si>
  <si>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</si>
  <si>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</si>
  <si>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</si>
  <si>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</si>
  <si>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</si>
  <si>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</si>
  <si>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</si>
  <si>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</si>
  <si>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</si>
  <si>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</si>
  <si>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</si>
  <si>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</si>
  <si>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</si>
  <si>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</si>
  <si>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</si>
  <si>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</si>
  <si>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</si>
  <si>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</si>
  <si>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</si>
  <si>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</si>
  <si>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</si>
  <si>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</si>
  <si>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</si>
  <si>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</si>
  <si>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</si>
  <si>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</si>
  <si>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</si>
  <si>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</si>
  <si>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</si>
  <si>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</si>
  <si>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</si>
  <si>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</si>
  <si>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</si>
  <si>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</si>
  <si>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</si>
  <si>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</si>
  <si>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Check for missing values in the 'Price' column. How would you handle products with missing price information?</t>
  </si>
  <si>
    <t xml:space="preserve"> Identify any typos present in the "Category" column.</t>
  </si>
  <si>
    <t>Electroni - by using find and replace changed to Electronics</t>
  </si>
  <si>
    <t>Identify any duplicate rows within the dataset based on the entirety of each row, and remove them if any.</t>
  </si>
  <si>
    <t>select the rows-&gt; go to data tab-&gt;click remove duplicates</t>
  </si>
  <si>
    <t>Country Code</t>
  </si>
  <si>
    <t>Product Brand</t>
  </si>
  <si>
    <t>Manufacturing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</si>
</sst>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[$-409]d\-mmm\-yyyy;@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4" fontId="7" fillId="2" borderId="0" xfId="1" applyFont="1" applyFill="1" applyAlignment="1">
      <alignment horizontal="center"/>
    </xf>
    <xf numFmtId="44" fontId="5" fillId="0" borderId="0" xfId="1" applyFont="1" applyAlignment="1">
      <alignment horizontal="center" vertical="center"/>
    </xf>
    <xf numFmtId="44" fontId="5" fillId="3" borderId="0" xfId="1" applyFont="1" applyFill="1" applyAlignment="1">
      <alignment horizontal="center" vertical="center"/>
    </xf>
    <xf numFmtId="44" fontId="0" fillId="0" borderId="0" xfId="1" applyFont="1"/>
    <xf numFmtId="166" fontId="10" fillId="2" borderId="0" xfId="0" applyNumberFormat="1" applyFont="1" applyFill="1" applyAlignment="1">
      <alignment horizontal="center"/>
    </xf>
    <xf numFmtId="166" fontId="5" fillId="0" borderId="0" xfId="0" applyNumberFormat="1" applyFont="1" applyAlignment="1">
      <alignment horizontal="center" vertical="center"/>
    </xf>
    <xf numFmtId="166" fontId="0" fillId="0" borderId="0" xfId="0" applyNumberFormat="1"/>
    <xf numFmtId="0" fontId="9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/>
  </cellXfs>
  <cellStyles count="2">
    <cellStyle name="Currency" xfId="1" builtinId="4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2" workbookViewId="0">
      <selection activeCell="F35" sqref="F35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tabSelected="1" workbookViewId="0">
      <selection activeCell="A9" sqref="A9"/>
    </sheetView>
  </sheetViews>
  <sheetFormatPr defaultColWidth="12.6328125" defaultRowHeight="15" customHeight="1" x14ac:dyDescent="0.25"/>
  <cols>
    <col min="1" max="1" width="12.6328125" customWidth="1"/>
    <col min="2" max="2" width="17.90625" style="18" bestFit="1" customWidth="1"/>
    <col min="3" max="5" width="12.6328125" customWidth="1"/>
    <col min="6" max="6" width="24.36328125" customWidth="1"/>
    <col min="7" max="7" width="12.6328125" style="15" customWidth="1"/>
    <col min="8" max="8" width="12.6328125" style="11" customWidth="1"/>
    <col min="9" max="9" width="12.6328125" customWidth="1"/>
  </cols>
  <sheetData>
    <row r="1" spans="1:19" ht="15.75" customHeight="1" x14ac:dyDescent="0.3">
      <c r="A1" s="7" t="s">
        <v>19</v>
      </c>
      <c r="B1" s="16" t="s">
        <v>122</v>
      </c>
      <c r="C1" s="7" t="s">
        <v>120</v>
      </c>
      <c r="D1" s="7" t="s">
        <v>20</v>
      </c>
      <c r="E1" s="7" t="s">
        <v>21</v>
      </c>
      <c r="F1" s="7" t="s">
        <v>121</v>
      </c>
      <c r="G1" s="12" t="s">
        <v>22</v>
      </c>
      <c r="H1" s="8" t="s">
        <v>23</v>
      </c>
      <c r="I1" s="7" t="s">
        <v>24</v>
      </c>
      <c r="J1" s="7" t="s">
        <v>20</v>
      </c>
    </row>
    <row r="2" spans="1:19" ht="15.75" customHeight="1" x14ac:dyDescent="0.25">
      <c r="A2" s="9" t="s">
        <v>25</v>
      </c>
      <c r="B2" s="17" t="str">
        <f>LEFT(A2,6)</f>
        <v>28-JAN</v>
      </c>
      <c r="C2" s="9" t="str">
        <f>RIGHT(A2,2)</f>
        <v>US</v>
      </c>
      <c r="D2" s="9" t="s">
        <v>26</v>
      </c>
      <c r="E2" s="9" t="s">
        <v>27</v>
      </c>
      <c r="F2" s="9" t="str">
        <f>D2&amp;" "&amp;E2</f>
        <v>laptop Dell</v>
      </c>
      <c r="G2" s="13">
        <v>1000</v>
      </c>
      <c r="H2" s="9">
        <v>30</v>
      </c>
      <c r="I2" s="9" t="s">
        <v>28</v>
      </c>
      <c r="J2" s="9" t="str">
        <f>PROPER(D2)</f>
        <v>Laptop</v>
      </c>
      <c r="K2" t="s">
        <v>115</v>
      </c>
    </row>
    <row r="3" spans="1:19" ht="15.75" customHeight="1" x14ac:dyDescent="0.3">
      <c r="A3" s="10" t="s">
        <v>29</v>
      </c>
      <c r="B3" s="17" t="str">
        <f t="shared" ref="B3:B32" si="0">LEFT(A3,6)</f>
        <v>15-FEB</v>
      </c>
      <c r="C3" s="9" t="str">
        <f t="shared" ref="C3:C32" si="1">RIGHT(A3,2)</f>
        <v>US</v>
      </c>
      <c r="D3" s="10" t="s">
        <v>30</v>
      </c>
      <c r="E3" s="10" t="s">
        <v>31</v>
      </c>
      <c r="F3" s="9" t="str">
        <f t="shared" ref="F3:F32" si="2">D3&amp;" "&amp;E3</f>
        <v>Sneakers Nike</v>
      </c>
      <c r="G3" s="14">
        <v>80</v>
      </c>
      <c r="H3" s="10">
        <v>15</v>
      </c>
      <c r="I3" s="10" t="s">
        <v>32</v>
      </c>
      <c r="J3" s="9" t="str">
        <f>PROPER(D3)</f>
        <v>Sneakers</v>
      </c>
      <c r="K3">
        <f>MEDIAN(G:G)</f>
        <v>130</v>
      </c>
      <c r="L3" s="2"/>
      <c r="M3" s="5"/>
      <c r="N3" s="5"/>
      <c r="O3" s="5"/>
      <c r="P3" s="5"/>
      <c r="Q3" s="5"/>
      <c r="R3" s="5"/>
      <c r="S3" s="5"/>
    </row>
    <row r="4" spans="1:19" ht="15.75" customHeight="1" x14ac:dyDescent="0.25">
      <c r="A4" s="9" t="s">
        <v>33</v>
      </c>
      <c r="B4" s="17" t="str">
        <f t="shared" si="0"/>
        <v>03-MAR</v>
      </c>
      <c r="C4" s="9" t="str">
        <f t="shared" si="1"/>
        <v>US</v>
      </c>
      <c r="D4" s="9" t="s">
        <v>34</v>
      </c>
      <c r="E4" s="9" t="s">
        <v>35</v>
      </c>
      <c r="F4" s="9" t="str">
        <f t="shared" si="2"/>
        <v>Coffee Maker Keurig</v>
      </c>
      <c r="G4" s="13">
        <v>130</v>
      </c>
      <c r="H4" s="9">
        <v>40</v>
      </c>
      <c r="I4" s="9" t="s">
        <v>36</v>
      </c>
      <c r="J4" s="9" t="str">
        <f>PROPER(D4)</f>
        <v>Coffee Maker</v>
      </c>
      <c r="K4" t="s">
        <v>116</v>
      </c>
      <c r="O4" s="5"/>
      <c r="P4" s="5"/>
      <c r="Q4" s="5"/>
      <c r="R4" s="5"/>
      <c r="S4" s="5"/>
    </row>
    <row r="5" spans="1:19" ht="15.75" customHeight="1" x14ac:dyDescent="0.25">
      <c r="A5" s="10" t="s">
        <v>37</v>
      </c>
      <c r="B5" s="17" t="str">
        <f t="shared" si="0"/>
        <v>11-APR</v>
      </c>
      <c r="C5" s="9" t="str">
        <f t="shared" si="1"/>
        <v>US</v>
      </c>
      <c r="D5" s="10" t="s">
        <v>38</v>
      </c>
      <c r="E5" s="10" t="s">
        <v>39</v>
      </c>
      <c r="F5" s="9" t="str">
        <f t="shared" si="2"/>
        <v>smartphone Samsung</v>
      </c>
      <c r="G5" s="14">
        <v>900</v>
      </c>
      <c r="H5" s="10">
        <v>25</v>
      </c>
      <c r="I5" s="19" t="s">
        <v>28</v>
      </c>
      <c r="J5" s="9" t="str">
        <f>PROPER(D5)</f>
        <v>Smartphone</v>
      </c>
      <c r="K5" t="s">
        <v>117</v>
      </c>
      <c r="O5" s="5"/>
      <c r="P5" s="5"/>
      <c r="Q5" s="5"/>
      <c r="R5" s="5"/>
      <c r="S5" s="5"/>
    </row>
    <row r="6" spans="1:19" ht="15.75" customHeight="1" x14ac:dyDescent="0.25">
      <c r="A6" s="9" t="s">
        <v>40</v>
      </c>
      <c r="B6" s="17" t="str">
        <f t="shared" si="0"/>
        <v>22-MAY</v>
      </c>
      <c r="C6" s="9" t="str">
        <f t="shared" si="1"/>
        <v>US</v>
      </c>
      <c r="D6" s="9" t="s">
        <v>41</v>
      </c>
      <c r="E6" s="9" t="s">
        <v>42</v>
      </c>
      <c r="F6" s="9" t="str">
        <f t="shared" si="2"/>
        <v>Backpack North Face</v>
      </c>
      <c r="G6" s="13">
        <v>70</v>
      </c>
      <c r="H6" s="9">
        <v>20</v>
      </c>
      <c r="I6" s="9" t="s">
        <v>74</v>
      </c>
      <c r="J6" s="9" t="str">
        <f>PROPER(D6)</f>
        <v>Backpack</v>
      </c>
    </row>
    <row r="7" spans="1:19" ht="15.75" customHeight="1" x14ac:dyDescent="0.25">
      <c r="A7" s="10" t="s">
        <v>43</v>
      </c>
      <c r="B7" s="17" t="str">
        <f t="shared" si="0"/>
        <v>07-JUN</v>
      </c>
      <c r="C7" s="9" t="str">
        <f t="shared" si="1"/>
        <v>UK</v>
      </c>
      <c r="D7" s="10" t="s">
        <v>44</v>
      </c>
      <c r="E7" s="10" t="s">
        <v>45</v>
      </c>
      <c r="F7" s="9" t="str">
        <f t="shared" si="2"/>
        <v>Headphones Sony</v>
      </c>
      <c r="G7" s="14">
        <v>130</v>
      </c>
      <c r="H7" s="10">
        <v>45</v>
      </c>
      <c r="I7" s="10" t="s">
        <v>28</v>
      </c>
      <c r="J7" s="9" t="str">
        <f>PROPER(D7)</f>
        <v>Headphones</v>
      </c>
      <c r="K7" s="21" t="s">
        <v>118</v>
      </c>
    </row>
    <row r="8" spans="1:19" ht="15.75" customHeight="1" x14ac:dyDescent="0.25">
      <c r="A8" s="9" t="s">
        <v>46</v>
      </c>
      <c r="B8" s="17" t="str">
        <f t="shared" si="0"/>
        <v>19-JUL</v>
      </c>
      <c r="C8" s="9" t="str">
        <f t="shared" si="1"/>
        <v>UK</v>
      </c>
      <c r="D8" s="9" t="s">
        <v>47</v>
      </c>
      <c r="E8" s="9" t="s">
        <v>48</v>
      </c>
      <c r="F8" s="9" t="str">
        <f t="shared" si="2"/>
        <v>T-shirt Adidas</v>
      </c>
      <c r="G8" s="13">
        <v>30</v>
      </c>
      <c r="H8" s="9">
        <v>5</v>
      </c>
      <c r="I8" s="9" t="s">
        <v>32</v>
      </c>
      <c r="J8" s="9" t="str">
        <f>PROPER(D8)</f>
        <v>T-Shirt</v>
      </c>
      <c r="K8" t="s">
        <v>119</v>
      </c>
    </row>
    <row r="9" spans="1:19" ht="15.75" customHeight="1" x14ac:dyDescent="0.25">
      <c r="A9" s="10" t="s">
        <v>49</v>
      </c>
      <c r="B9" s="17" t="str">
        <f t="shared" si="0"/>
        <v>23-AUG</v>
      </c>
      <c r="C9" s="9" t="str">
        <f t="shared" si="1"/>
        <v>UK</v>
      </c>
      <c r="D9" s="10" t="s">
        <v>50</v>
      </c>
      <c r="E9" s="10" t="s">
        <v>51</v>
      </c>
      <c r="F9" s="9" t="str">
        <f t="shared" si="2"/>
        <v>Blender Ninja</v>
      </c>
      <c r="G9" s="14">
        <v>90</v>
      </c>
      <c r="H9" s="10">
        <v>35</v>
      </c>
      <c r="I9" s="10" t="s">
        <v>36</v>
      </c>
      <c r="J9" s="9" t="str">
        <f>PROPER(D9)</f>
        <v>Blender</v>
      </c>
    </row>
    <row r="10" spans="1:19" ht="15.75" customHeight="1" x14ac:dyDescent="0.25">
      <c r="A10" s="9" t="s">
        <v>52</v>
      </c>
      <c r="B10" s="17" t="str">
        <f t="shared" si="0"/>
        <v>05-SEP</v>
      </c>
      <c r="C10" s="9" t="str">
        <f t="shared" si="1"/>
        <v>UK</v>
      </c>
      <c r="D10" s="9" t="s">
        <v>53</v>
      </c>
      <c r="E10" s="9" t="s">
        <v>54</v>
      </c>
      <c r="F10" s="9" t="str">
        <f t="shared" si="2"/>
        <v>Tablet Apple</v>
      </c>
      <c r="G10" s="13">
        <v>500</v>
      </c>
      <c r="H10" s="9">
        <v>50</v>
      </c>
      <c r="I10" s="20" t="s">
        <v>28</v>
      </c>
      <c r="J10" s="9" t="str">
        <f>PROPER(D10)</f>
        <v>Tablet</v>
      </c>
    </row>
    <row r="11" spans="1:19" ht="15.75" customHeight="1" x14ac:dyDescent="0.25">
      <c r="A11" s="10" t="s">
        <v>55</v>
      </c>
      <c r="B11" s="17" t="str">
        <f t="shared" si="0"/>
        <v>14-OCT</v>
      </c>
      <c r="C11" s="9" t="str">
        <f t="shared" si="1"/>
        <v>UK</v>
      </c>
      <c r="D11" s="10" t="s">
        <v>56</v>
      </c>
      <c r="E11" s="10" t="s">
        <v>57</v>
      </c>
      <c r="F11" s="9" t="str">
        <f t="shared" si="2"/>
        <v>Hiking Boots Timberland</v>
      </c>
      <c r="G11" s="14">
        <v>130</v>
      </c>
      <c r="H11" s="10">
        <v>10</v>
      </c>
      <c r="I11" s="10" t="s">
        <v>58</v>
      </c>
      <c r="J11" s="9" t="str">
        <f>PROPER(D11)</f>
        <v>Hiking Boots</v>
      </c>
    </row>
    <row r="12" spans="1:19" ht="15.75" customHeight="1" x14ac:dyDescent="0.25">
      <c r="A12" s="9" t="s">
        <v>59</v>
      </c>
      <c r="B12" s="17" t="str">
        <f t="shared" si="0"/>
        <v>17-JUN</v>
      </c>
      <c r="C12" s="9" t="str">
        <f t="shared" si="1"/>
        <v>IN</v>
      </c>
      <c r="D12" s="9" t="s">
        <v>60</v>
      </c>
      <c r="E12" s="9" t="s">
        <v>61</v>
      </c>
      <c r="F12" s="9" t="str">
        <f t="shared" si="2"/>
        <v>Laptop HP</v>
      </c>
      <c r="G12" s="13">
        <v>950</v>
      </c>
      <c r="H12" s="9">
        <v>25</v>
      </c>
      <c r="I12" s="9" t="s">
        <v>28</v>
      </c>
      <c r="J12" s="9" t="str">
        <f>PROPER(D12)</f>
        <v>Laptop</v>
      </c>
    </row>
    <row r="13" spans="1:19" ht="15.75" customHeight="1" x14ac:dyDescent="0.25">
      <c r="A13" s="10" t="s">
        <v>62</v>
      </c>
      <c r="B13" s="17" t="str">
        <f t="shared" si="0"/>
        <v>25-NOV</v>
      </c>
      <c r="C13" s="9" t="str">
        <f t="shared" si="1"/>
        <v>AU</v>
      </c>
      <c r="D13" s="10" t="s">
        <v>30</v>
      </c>
      <c r="E13" s="10" t="s">
        <v>48</v>
      </c>
      <c r="F13" s="9" t="str">
        <f t="shared" si="2"/>
        <v>Sneakers Adidas</v>
      </c>
      <c r="G13" s="14">
        <v>90</v>
      </c>
      <c r="H13" s="10">
        <v>40</v>
      </c>
      <c r="I13" s="10" t="s">
        <v>32</v>
      </c>
      <c r="J13" s="9" t="str">
        <f>PROPER(D13)</f>
        <v>Sneakers</v>
      </c>
    </row>
    <row r="14" spans="1:19" ht="15.75" customHeight="1" x14ac:dyDescent="0.25">
      <c r="A14" s="9" t="s">
        <v>63</v>
      </c>
      <c r="B14" s="17" t="str">
        <f t="shared" si="0"/>
        <v>08-DEC</v>
      </c>
      <c r="C14" s="9" t="str">
        <f t="shared" si="1"/>
        <v>DE</v>
      </c>
      <c r="D14" s="9" t="s">
        <v>34</v>
      </c>
      <c r="E14" s="9" t="s">
        <v>64</v>
      </c>
      <c r="F14" s="9" t="str">
        <f t="shared" si="2"/>
        <v>Coffee Maker Nespresso</v>
      </c>
      <c r="G14" s="13">
        <v>120</v>
      </c>
      <c r="H14" s="9">
        <v>35</v>
      </c>
      <c r="I14" s="9" t="s">
        <v>36</v>
      </c>
      <c r="J14" s="9" t="str">
        <f>PROPER(D14)</f>
        <v>Coffee Maker</v>
      </c>
    </row>
    <row r="15" spans="1:19" ht="15.75" customHeight="1" x14ac:dyDescent="0.25">
      <c r="A15" s="10" t="s">
        <v>65</v>
      </c>
      <c r="B15" s="17" t="str">
        <f t="shared" si="0"/>
        <v>18-FEB</v>
      </c>
      <c r="C15" s="9" t="str">
        <f t="shared" si="1"/>
        <v>CA</v>
      </c>
      <c r="D15" s="10" t="s">
        <v>66</v>
      </c>
      <c r="E15" s="10" t="s">
        <v>67</v>
      </c>
      <c r="F15" s="9" t="str">
        <f t="shared" si="2"/>
        <v>Smartwatch Fitbit</v>
      </c>
      <c r="G15" s="14">
        <v>150</v>
      </c>
      <c r="H15" s="10">
        <v>15</v>
      </c>
      <c r="I15" s="10" t="s">
        <v>28</v>
      </c>
      <c r="J15" s="9" t="str">
        <f>PROPER(D15)</f>
        <v>Smartwatch</v>
      </c>
    </row>
    <row r="16" spans="1:19" ht="15.75" customHeight="1" x14ac:dyDescent="0.25">
      <c r="A16" s="9" t="s">
        <v>68</v>
      </c>
      <c r="B16" s="17" t="str">
        <f t="shared" si="0"/>
        <v>16-APR</v>
      </c>
      <c r="C16" s="9" t="str">
        <f t="shared" si="1"/>
        <v>ES</v>
      </c>
      <c r="D16" s="9" t="s">
        <v>69</v>
      </c>
      <c r="E16" s="9" t="s">
        <v>70</v>
      </c>
      <c r="F16" s="9" t="str">
        <f t="shared" si="2"/>
        <v>headphones Bose</v>
      </c>
      <c r="G16" s="13">
        <v>250</v>
      </c>
      <c r="H16" s="9">
        <v>20</v>
      </c>
      <c r="I16" s="9" t="s">
        <v>28</v>
      </c>
      <c r="J16" s="9" t="str">
        <f>PROPER(D16)</f>
        <v>Headphones</v>
      </c>
    </row>
    <row r="17" spans="1:10" ht="15.75" customHeight="1" x14ac:dyDescent="0.25">
      <c r="A17" s="10" t="s">
        <v>71</v>
      </c>
      <c r="B17" s="17" t="str">
        <f t="shared" si="0"/>
        <v>21-AUG</v>
      </c>
      <c r="C17" s="9" t="str">
        <f t="shared" si="1"/>
        <v>CA</v>
      </c>
      <c r="D17" s="10" t="s">
        <v>72</v>
      </c>
      <c r="E17" s="10" t="s">
        <v>73</v>
      </c>
      <c r="F17" s="9" t="str">
        <f t="shared" si="2"/>
        <v>Laptop Bag Samsonite</v>
      </c>
      <c r="G17" s="14">
        <v>50</v>
      </c>
      <c r="H17" s="10">
        <v>35</v>
      </c>
      <c r="I17" s="10" t="s">
        <v>74</v>
      </c>
      <c r="J17" s="9" t="str">
        <f>PROPER(D17)</f>
        <v>Laptop Bag</v>
      </c>
    </row>
    <row r="18" spans="1:10" ht="15.75" customHeight="1" x14ac:dyDescent="0.25">
      <c r="A18" s="9" t="s">
        <v>75</v>
      </c>
      <c r="B18" s="17" t="str">
        <f t="shared" si="0"/>
        <v>20-AUG</v>
      </c>
      <c r="C18" s="9" t="str">
        <f t="shared" si="1"/>
        <v>CN</v>
      </c>
      <c r="D18" s="9" t="s">
        <v>66</v>
      </c>
      <c r="E18" s="9" t="s">
        <v>76</v>
      </c>
      <c r="F18" s="9" t="str">
        <f t="shared" si="2"/>
        <v>Smartwatch Huawei</v>
      </c>
      <c r="G18" s="13">
        <v>160</v>
      </c>
      <c r="H18" s="9">
        <v>15</v>
      </c>
      <c r="I18" s="9" t="s">
        <v>28</v>
      </c>
      <c r="J18" s="9" t="str">
        <f>PROPER(D18)</f>
        <v>Smartwatch</v>
      </c>
    </row>
    <row r="19" spans="1:10" ht="15.75" customHeight="1" x14ac:dyDescent="0.25">
      <c r="A19" s="10" t="s">
        <v>77</v>
      </c>
      <c r="B19" s="17" t="str">
        <f t="shared" si="0"/>
        <v>27-JAN</v>
      </c>
      <c r="C19" s="9" t="str">
        <f t="shared" si="1"/>
        <v>IT</v>
      </c>
      <c r="D19" s="10" t="s">
        <v>26</v>
      </c>
      <c r="E19" s="10" t="s">
        <v>78</v>
      </c>
      <c r="F19" s="9" t="str">
        <f t="shared" si="2"/>
        <v>laptop Asus</v>
      </c>
      <c r="G19" s="14">
        <v>980</v>
      </c>
      <c r="H19" s="10">
        <v>10</v>
      </c>
      <c r="I19" s="10" t="s">
        <v>28</v>
      </c>
      <c r="J19" s="9" t="str">
        <f>PROPER(D19)</f>
        <v>Laptop</v>
      </c>
    </row>
    <row r="20" spans="1:10" ht="15.75" customHeight="1" x14ac:dyDescent="0.25">
      <c r="A20" s="9" t="s">
        <v>79</v>
      </c>
      <c r="B20" s="17" t="str">
        <f t="shared" si="0"/>
        <v>01-MAR</v>
      </c>
      <c r="C20" s="9" t="str">
        <f t="shared" si="1"/>
        <v>UK</v>
      </c>
      <c r="D20" s="9" t="s">
        <v>80</v>
      </c>
      <c r="E20" s="9" t="s">
        <v>81</v>
      </c>
      <c r="F20" s="9" t="str">
        <f t="shared" si="2"/>
        <v>Sunglasses Oakley</v>
      </c>
      <c r="G20" s="13">
        <v>150</v>
      </c>
      <c r="H20" s="9">
        <v>15</v>
      </c>
      <c r="I20" s="9" t="s">
        <v>32</v>
      </c>
      <c r="J20" s="9" t="str">
        <f>PROPER(D20)</f>
        <v>Sunglasses</v>
      </c>
    </row>
    <row r="21" spans="1:10" ht="15.75" customHeight="1" x14ac:dyDescent="0.25">
      <c r="A21" s="10" t="s">
        <v>82</v>
      </c>
      <c r="B21" s="17" t="str">
        <f t="shared" si="0"/>
        <v>14-AUG</v>
      </c>
      <c r="C21" s="9" t="str">
        <f t="shared" si="1"/>
        <v>US</v>
      </c>
      <c r="D21" s="10" t="s">
        <v>83</v>
      </c>
      <c r="E21" s="10" t="s">
        <v>84</v>
      </c>
      <c r="F21" s="9" t="str">
        <f t="shared" si="2"/>
        <v>Camping Tent Coleman</v>
      </c>
      <c r="G21" s="14">
        <v>130</v>
      </c>
      <c r="H21" s="10">
        <v>10</v>
      </c>
      <c r="I21" s="10" t="s">
        <v>58</v>
      </c>
      <c r="J21" s="9" t="str">
        <f>PROPER(D21)</f>
        <v>Camping Tent</v>
      </c>
    </row>
    <row r="22" spans="1:10" ht="15.75" customHeight="1" x14ac:dyDescent="0.25">
      <c r="A22" s="9" t="s">
        <v>85</v>
      </c>
      <c r="B22" s="17" t="str">
        <f t="shared" si="0"/>
        <v>14-MAY</v>
      </c>
      <c r="C22" s="9" t="str">
        <f t="shared" si="1"/>
        <v>RU</v>
      </c>
      <c r="D22" s="9" t="s">
        <v>86</v>
      </c>
      <c r="E22" s="9" t="s">
        <v>87</v>
      </c>
      <c r="F22" s="9" t="str">
        <f t="shared" si="2"/>
        <v>Camera Nikon</v>
      </c>
      <c r="G22" s="13">
        <v>700</v>
      </c>
      <c r="H22" s="9">
        <v>50</v>
      </c>
      <c r="I22" s="9" t="s">
        <v>28</v>
      </c>
      <c r="J22" s="9" t="str">
        <f>PROPER(D22)</f>
        <v>Camera</v>
      </c>
    </row>
    <row r="23" spans="1:10" ht="15.75" customHeight="1" x14ac:dyDescent="0.25">
      <c r="A23" s="10" t="s">
        <v>88</v>
      </c>
      <c r="B23" s="17" t="str">
        <f t="shared" si="0"/>
        <v>09-JAN</v>
      </c>
      <c r="C23" s="9" t="str">
        <f t="shared" si="1"/>
        <v>CA</v>
      </c>
      <c r="D23" s="10" t="s">
        <v>89</v>
      </c>
      <c r="E23" s="10" t="s">
        <v>90</v>
      </c>
      <c r="F23" s="9" t="str">
        <f t="shared" si="2"/>
        <v>Microwave Panasonic</v>
      </c>
      <c r="G23" s="14">
        <v>80</v>
      </c>
      <c r="H23" s="10">
        <v>20</v>
      </c>
      <c r="I23" s="10" t="s">
        <v>36</v>
      </c>
      <c r="J23" s="9" t="str">
        <f>PROPER(D23)</f>
        <v>Microwave</v>
      </c>
    </row>
    <row r="24" spans="1:10" ht="15.75" customHeight="1" x14ac:dyDescent="0.25">
      <c r="A24" s="9" t="s">
        <v>91</v>
      </c>
      <c r="B24" s="17" t="str">
        <f t="shared" si="0"/>
        <v>19-JUL</v>
      </c>
      <c r="C24" s="9" t="str">
        <f t="shared" si="1"/>
        <v>BR</v>
      </c>
      <c r="D24" s="9" t="s">
        <v>92</v>
      </c>
      <c r="E24" s="9" t="s">
        <v>93</v>
      </c>
      <c r="F24" s="9" t="str">
        <f t="shared" si="2"/>
        <v>Fitness Tracker Xiaomi</v>
      </c>
      <c r="G24" s="13">
        <v>150</v>
      </c>
      <c r="H24" s="9">
        <v>30</v>
      </c>
      <c r="I24" s="9" t="s">
        <v>28</v>
      </c>
      <c r="J24" s="9" t="str">
        <f>PROPER(D24)</f>
        <v>Fitness Tracker</v>
      </c>
    </row>
    <row r="25" spans="1:10" ht="15.75" customHeight="1" x14ac:dyDescent="0.25">
      <c r="A25" s="9" t="s">
        <v>94</v>
      </c>
      <c r="B25" s="17" t="str">
        <f t="shared" si="0"/>
        <v>29-SEP</v>
      </c>
      <c r="C25" s="9" t="str">
        <f t="shared" si="1"/>
        <v>CA</v>
      </c>
      <c r="D25" s="9" t="s">
        <v>95</v>
      </c>
      <c r="E25" s="9" t="s">
        <v>96</v>
      </c>
      <c r="F25" s="9" t="str">
        <f t="shared" si="2"/>
        <v>Smartphone Google</v>
      </c>
      <c r="G25" s="13">
        <v>800</v>
      </c>
      <c r="H25" s="9">
        <v>45</v>
      </c>
      <c r="I25" s="9" t="s">
        <v>28</v>
      </c>
      <c r="J25" s="9" t="str">
        <f>PROPER(D25)</f>
        <v>Smartphone</v>
      </c>
    </row>
    <row r="26" spans="1:10" ht="15.75" customHeight="1" x14ac:dyDescent="0.25">
      <c r="A26" s="10" t="s">
        <v>97</v>
      </c>
      <c r="B26" s="17" t="str">
        <f t="shared" si="0"/>
        <v>03-JUN</v>
      </c>
      <c r="C26" s="9" t="str">
        <f t="shared" si="1"/>
        <v>CA</v>
      </c>
      <c r="D26" s="10" t="s">
        <v>80</v>
      </c>
      <c r="E26" s="10" t="s">
        <v>98</v>
      </c>
      <c r="F26" s="9" t="str">
        <f t="shared" si="2"/>
        <v>Sunglasses Ray-Ban</v>
      </c>
      <c r="G26" s="14">
        <v>130</v>
      </c>
      <c r="H26" s="10">
        <v>25</v>
      </c>
      <c r="I26" s="10" t="s">
        <v>32</v>
      </c>
      <c r="J26" s="9" t="str">
        <f>PROPER(D26)</f>
        <v>Sunglasses</v>
      </c>
    </row>
    <row r="27" spans="1:10" ht="15.75" customHeight="1" x14ac:dyDescent="0.25">
      <c r="A27" s="9" t="s">
        <v>99</v>
      </c>
      <c r="B27" s="17" t="str">
        <f t="shared" si="0"/>
        <v>11-JUL</v>
      </c>
      <c r="C27" s="9" t="str">
        <f t="shared" si="1"/>
        <v>CA</v>
      </c>
      <c r="D27" s="9" t="s">
        <v>50</v>
      </c>
      <c r="E27" s="9" t="s">
        <v>100</v>
      </c>
      <c r="F27" s="9" t="str">
        <f t="shared" si="2"/>
        <v>Blender Vitamix</v>
      </c>
      <c r="G27" s="13">
        <v>400</v>
      </c>
      <c r="H27" s="9">
        <v>40</v>
      </c>
      <c r="I27" s="9" t="s">
        <v>36</v>
      </c>
      <c r="J27" s="9" t="str">
        <f>PROPER(D27)</f>
        <v>Blender</v>
      </c>
    </row>
    <row r="28" spans="1:10" ht="15.75" customHeight="1" x14ac:dyDescent="0.25">
      <c r="A28" s="9" t="s">
        <v>101</v>
      </c>
      <c r="B28" s="17" t="str">
        <f t="shared" si="0"/>
        <v>07-MAR</v>
      </c>
      <c r="C28" s="9" t="str">
        <f t="shared" si="1"/>
        <v>CA</v>
      </c>
      <c r="D28" s="9" t="s">
        <v>102</v>
      </c>
      <c r="E28" s="9" t="s">
        <v>103</v>
      </c>
      <c r="F28" s="9" t="str">
        <f t="shared" si="2"/>
        <v>Dress Zara</v>
      </c>
      <c r="G28" s="13">
        <v>60</v>
      </c>
      <c r="H28" s="9">
        <v>30</v>
      </c>
      <c r="I28" s="9" t="s">
        <v>32</v>
      </c>
      <c r="J28" s="9" t="str">
        <f>PROPER(D28)</f>
        <v>Dress</v>
      </c>
    </row>
    <row r="29" spans="1:10" ht="15.75" customHeight="1" x14ac:dyDescent="0.25">
      <c r="A29" s="10" t="s">
        <v>104</v>
      </c>
      <c r="B29" s="17" t="str">
        <f t="shared" si="0"/>
        <v>13-APR</v>
      </c>
      <c r="C29" s="9" t="str">
        <f t="shared" si="1"/>
        <v>CA</v>
      </c>
      <c r="D29" s="10" t="s">
        <v>105</v>
      </c>
      <c r="E29" s="10" t="s">
        <v>106</v>
      </c>
      <c r="F29" s="9" t="str">
        <f t="shared" si="2"/>
        <v>Toaster Hamilton</v>
      </c>
      <c r="G29" s="14">
        <v>40</v>
      </c>
      <c r="H29" s="10">
        <v>10</v>
      </c>
      <c r="I29" s="10" t="s">
        <v>36</v>
      </c>
      <c r="J29" s="9" t="str">
        <f>PROPER(D29)</f>
        <v>Toaster</v>
      </c>
    </row>
    <row r="30" spans="1:10" ht="15.75" customHeight="1" x14ac:dyDescent="0.25">
      <c r="A30" s="9" t="s">
        <v>107</v>
      </c>
      <c r="B30" s="17" t="str">
        <f t="shared" si="0"/>
        <v>24-MAY</v>
      </c>
      <c r="C30" s="9" t="str">
        <f t="shared" si="1"/>
        <v>CA</v>
      </c>
      <c r="D30" s="9" t="s">
        <v>92</v>
      </c>
      <c r="E30" s="9" t="s">
        <v>108</v>
      </c>
      <c r="F30" s="9" t="str">
        <f t="shared" si="2"/>
        <v>Fitness Tracker Garmin</v>
      </c>
      <c r="G30" s="13">
        <v>130</v>
      </c>
      <c r="H30" s="9">
        <v>5</v>
      </c>
      <c r="I30" s="9" t="s">
        <v>28</v>
      </c>
      <c r="J30" s="9" t="str">
        <f>PROPER(D30)</f>
        <v>Fitness Tracker</v>
      </c>
    </row>
    <row r="31" spans="1:10" ht="15.75" customHeight="1" x14ac:dyDescent="0.25">
      <c r="A31" s="10" t="s">
        <v>109</v>
      </c>
      <c r="B31" s="17" t="str">
        <f t="shared" si="0"/>
        <v>02-DEC</v>
      </c>
      <c r="C31" s="9" t="str">
        <f t="shared" si="1"/>
        <v>CA</v>
      </c>
      <c r="D31" s="10" t="s">
        <v>110</v>
      </c>
      <c r="E31" s="10" t="s">
        <v>111</v>
      </c>
      <c r="F31" s="9" t="str">
        <f t="shared" si="2"/>
        <v>Jeans Levi's</v>
      </c>
      <c r="G31" s="14">
        <v>50</v>
      </c>
      <c r="H31" s="10">
        <v>50</v>
      </c>
      <c r="I31" s="10" t="s">
        <v>32</v>
      </c>
      <c r="J31" s="9" t="str">
        <f>PROPER(D31)</f>
        <v>Jeans</v>
      </c>
    </row>
    <row r="32" spans="1:10" ht="15.75" customHeight="1" x14ac:dyDescent="0.25">
      <c r="A32" s="10" t="s">
        <v>112</v>
      </c>
      <c r="B32" s="17" t="str">
        <f t="shared" si="0"/>
        <v>09-JUL</v>
      </c>
      <c r="C32" s="9" t="str">
        <f t="shared" si="1"/>
        <v>FR</v>
      </c>
      <c r="D32" s="10" t="s">
        <v>113</v>
      </c>
      <c r="E32" s="10" t="s">
        <v>114</v>
      </c>
      <c r="F32" s="9" t="str">
        <f t="shared" si="2"/>
        <v>Watch Casio</v>
      </c>
      <c r="G32" s="14">
        <v>100</v>
      </c>
      <c r="H32" s="10">
        <v>20</v>
      </c>
      <c r="I32" s="10" t="s">
        <v>74</v>
      </c>
      <c r="J32" s="9" t="str">
        <f>PROPER(D32)</f>
        <v>Watch</v>
      </c>
    </row>
    <row r="33" spans="8:8" ht="15.75" customHeight="1" x14ac:dyDescent="0.25">
      <c r="H33"/>
    </row>
    <row r="34" spans="8:8" ht="15.75" customHeight="1" x14ac:dyDescent="0.25">
      <c r="H34"/>
    </row>
    <row r="35" spans="8:8" ht="15.75" customHeight="1" x14ac:dyDescent="0.25">
      <c r="H35"/>
    </row>
    <row r="36" spans="8:8" ht="15.75" customHeight="1" x14ac:dyDescent="0.25"/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  <row r="41" spans="8:8" ht="15.75" customHeight="1" x14ac:dyDescent="0.25"/>
    <row r="42" spans="8:8" ht="15.75" customHeight="1" x14ac:dyDescent="0.25"/>
    <row r="43" spans="8:8" ht="15.75" customHeight="1" x14ac:dyDescent="0.25"/>
    <row r="44" spans="8:8" ht="15.75" customHeight="1" x14ac:dyDescent="0.25"/>
    <row r="45" spans="8:8" ht="15.75" customHeight="1" x14ac:dyDescent="0.25"/>
    <row r="46" spans="8:8" ht="15.75" customHeight="1" x14ac:dyDescent="0.25"/>
    <row r="47" spans="8:8" ht="15.75" customHeight="1" x14ac:dyDescent="0.25"/>
    <row r="48" spans="8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1:G104857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{162A8BF0-CB1C-49D0-AB51-CA4BBEE7666C}</x14:id>
        </ext>
      </extLst>
    </cfRule>
  </conditionalFormatting>
  <conditionalFormatting sqref="K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ntainsText" dxfId="1" priority="4" operator="containsText" text="E+$I$2">
      <formula>NOT(ISERROR(SEARCH("E+$I$2",I1)))</formula>
    </cfRule>
    <cfRule type="containsText" priority="5" operator="containsText" text="Electronics">
      <formula>NOT(ISERROR(SEARCH("Electronics",I1)))</formula>
    </cfRule>
  </conditionalFormatting>
  <conditionalFormatting sqref="I2">
    <cfRule type="containsText" dxfId="0" priority="2" operator="containsText" text="Electronics">
      <formula>NOT(ISERROR(SEARCH("Electronics",I2)))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2A8BF0-CB1C-49D0-AB51-CA4BBEE766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containsText" priority="1" operator="containsText" id="{864847F6-D3BF-42D2-9FCA-7787B1F5E160}">
            <xm:f>NOT(ISERROR(SEARCH($I$5,I1)))</xm:f>
            <xm:f>$I$5</xm:f>
            <x14:dxf>
              <fill>
                <patternFill>
                  <bgColor rgb="FF00B050"/>
                </patternFill>
              </fill>
            </x14:dxf>
          </x14:cfRule>
          <x14:cfRule type="containsText" priority="3" operator="containsText" id="{5A2BD208-C633-4D76-9439-4CD2EB6962C4}">
            <xm:f>NOT(ISERROR(SEARCH("Electronics"+$C$1,I1)))</xm:f>
            <xm:f>"Electronics"+$C$1</xm:f>
            <x14:dxf>
              <fill>
                <patternFill>
                  <bgColor rgb="FF00B050"/>
                </patternFill>
              </fill>
            </x14:dxf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vemuriexcel@outlook.com</cp:lastModifiedBy>
  <dcterms:modified xsi:type="dcterms:W3CDTF">2026-09-22T01:52:21Z</dcterms:modified>
</cp:coreProperties>
</file>