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ealthcare_Data" sheetId="1" r:id="rId1"/>
    <sheet name="Practice_Questions" sheetId="2" r:id="rId2"/>
  </sheets>
  <definedNames>
    <definedName name="_xlnm._FilterDatabase" localSheetId="0" hidden="1">Healthcare_Data!$A$1:$I$101</definedName>
    <definedName name="_xlnm._FilterDatabase" localSheetId="1" hidden="1">Practice_Questions!$A$1:$A$21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<sst xmlns="http://schemas.openxmlformats.org/spreadsheetml/2006/main" count="653" uniqueCount="241">
  <si>
    <t>Patient_ID</t>
  </si>
  <si>
    <t>Patient_Name</t>
  </si>
  <si>
    <t>Age</t>
  </si>
  <si>
    <t>Department</t>
  </si>
  <si>
    <t>Patient_Category</t>
  </si>
  <si>
    <t>Visit_Type</t>
  </si>
  <si>
    <t>Payment_Mode</t>
  </si>
  <si>
    <t>Bill_Amount</t>
  </si>
  <si>
    <t>Doctor_Code</t>
  </si>
  <si>
    <t>P1001</t>
  </si>
  <si>
    <t>Meena Reddy</t>
  </si>
  <si>
    <t>Neurology</t>
  </si>
  <si>
    <t>OPD</t>
  </si>
  <si>
    <t>UPI</t>
  </si>
  <si>
    <t>DOC102</t>
  </si>
  <si>
    <t>1. Calculate total hospital revenue</t>
  </si>
  <si>
    <t>P1002</t>
  </si>
  <si>
    <t>Anil Rao</t>
  </si>
  <si>
    <t>Emergency</t>
  </si>
  <si>
    <t>Cash</t>
  </si>
  <si>
    <t>P1003</t>
  </si>
  <si>
    <t>Vijay Iyer</t>
  </si>
  <si>
    <t>Cardiology</t>
  </si>
  <si>
    <t>Insurance</t>
  </si>
  <si>
    <t>DOC101</t>
  </si>
  <si>
    <t xml:space="preserve">2. Find the minimum patient bill </t>
  </si>
  <si>
    <t>P1004</t>
  </si>
  <si>
    <t>Rahul Das</t>
  </si>
  <si>
    <t>Card</t>
  </si>
  <si>
    <t>P1005</t>
  </si>
  <si>
    <t>Anil Singh</t>
  </si>
  <si>
    <t>Pediatrics</t>
  </si>
  <si>
    <t>Follow-up</t>
  </si>
  <si>
    <t>DOC104</t>
  </si>
  <si>
    <t xml:space="preserve">3.Find the maximum patient bill </t>
  </si>
  <si>
    <t>P1006</t>
  </si>
  <si>
    <t>Vijay Patel</t>
  </si>
  <si>
    <t>Dermatology</t>
  </si>
  <si>
    <t>DOC106</t>
  </si>
  <si>
    <t>P1007</t>
  </si>
  <si>
    <t>Amit Rao</t>
  </si>
  <si>
    <t>Gynecology</t>
  </si>
  <si>
    <t>DOC107</t>
  </si>
  <si>
    <t>4.Count the number of patients</t>
  </si>
  <si>
    <t>P1008</t>
  </si>
  <si>
    <t>Meena Sharma</t>
  </si>
  <si>
    <t>=COUNT(G:G)-1)</t>
  </si>
  <si>
    <t>=COUNTA(B:B)-1)</t>
  </si>
  <si>
    <t>P1009</t>
  </si>
  <si>
    <t>Divya Nair</t>
  </si>
  <si>
    <t>General Medicine</t>
  </si>
  <si>
    <t>DOC105</t>
  </si>
  <si>
    <t xml:space="preserve">5.Calculate the overall average bill </t>
  </si>
  <si>
    <t>P1010</t>
  </si>
  <si>
    <t>Neha Rao</t>
  </si>
  <si>
    <t>P1011</t>
  </si>
  <si>
    <t>Priya Rao</t>
  </si>
  <si>
    <t>ENT</t>
  </si>
  <si>
    <t>DOC108</t>
  </si>
  <si>
    <t>6.Create Patient_Category using IF(): Bill &gt; 10000 = High Value, otherwise Regular</t>
  </si>
  <si>
    <t>P1012</t>
  </si>
  <si>
    <t>Amit Nair</t>
  </si>
  <si>
    <t>=IF(H2&gt;10000,"High value", "Regular".)</t>
  </si>
  <si>
    <t>P1013</t>
  </si>
  <si>
    <t>Sandeep Reddy</t>
  </si>
  <si>
    <t xml:space="preserve">7. Calculate Cardiology revenue </t>
  </si>
  <si>
    <t>P1014</t>
  </si>
  <si>
    <t>Divya Rao</t>
  </si>
  <si>
    <t>P1015</t>
  </si>
  <si>
    <t>Mohan Reddy</t>
  </si>
  <si>
    <t>8. Calculate Neurology revenue</t>
  </si>
  <si>
    <t>P1016</t>
  </si>
  <si>
    <t>Sandeep Patel</t>
  </si>
  <si>
    <t>P1017</t>
  </si>
  <si>
    <t>Sneha Das</t>
  </si>
  <si>
    <t xml:space="preserve">9. Count Emergency visits </t>
  </si>
  <si>
    <t>P1018</t>
  </si>
  <si>
    <t>Kavya Patel</t>
  </si>
  <si>
    <t>Orthopedic</t>
  </si>
  <si>
    <t>DOC103</t>
  </si>
  <si>
    <t>P1019</t>
  </si>
  <si>
    <t>Divya Reddy</t>
  </si>
  <si>
    <t>10. Count Insurance patients</t>
  </si>
  <si>
    <t>P1020</t>
  </si>
  <si>
    <t>Lakshmi Rao</t>
  </si>
  <si>
    <t>P1021</t>
  </si>
  <si>
    <t>Swathi Sharma</t>
  </si>
  <si>
    <t>11. Calculate average Emergency bill</t>
  </si>
  <si>
    <t>P1022</t>
  </si>
  <si>
    <t>Manoj Iyer</t>
  </si>
  <si>
    <t>P1023</t>
  </si>
  <si>
    <t>Kiran Nair</t>
  </si>
  <si>
    <t xml:space="preserve">12. Calculate average Cardiology bill </t>
  </si>
  <si>
    <t>P1024</t>
  </si>
  <si>
    <t>Rahul Kumar</t>
  </si>
  <si>
    <t>P1025</t>
  </si>
  <si>
    <t>Anil Kumar</t>
  </si>
  <si>
    <t xml:space="preserve">13. Extract first 3 characters from Doctor_Code </t>
  </si>
  <si>
    <t>P1026</t>
  </si>
  <si>
    <t>Arjun Patel</t>
  </si>
  <si>
    <t>P1027</t>
  </si>
  <si>
    <t>Arjun Sharma</t>
  </si>
  <si>
    <t>14. Extract last 3 characters from Doctor_Code</t>
  </si>
  <si>
    <t>P1028</t>
  </si>
  <si>
    <t>Priya Sharma</t>
  </si>
  <si>
    <t>P1029</t>
  </si>
  <si>
    <t>Arjun Rao</t>
  </si>
  <si>
    <t xml:space="preserve">15. Extract numeric portion from Patient_ID </t>
  </si>
  <si>
    <t>P1030</t>
  </si>
  <si>
    <t>P1031</t>
  </si>
  <si>
    <t xml:space="preserve">16. Convert Patient_Name to uppercase </t>
  </si>
  <si>
    <t>P1032</t>
  </si>
  <si>
    <t>Kavya Singh</t>
  </si>
  <si>
    <t>P1033</t>
  </si>
  <si>
    <t>Pooja Patel</t>
  </si>
  <si>
    <t>17. Convert Patient_Name to lowercase</t>
  </si>
  <si>
    <t>P1034</t>
  </si>
  <si>
    <t>Amit Patel</t>
  </si>
  <si>
    <t>P1035</t>
  </si>
  <si>
    <t>Manoj Reddy</t>
  </si>
  <si>
    <t>18. Convert Patient_Name to Proper Case</t>
  </si>
  <si>
    <t>P1036</t>
  </si>
  <si>
    <t>Meena Singh</t>
  </si>
  <si>
    <t>P1037</t>
  </si>
  <si>
    <t>Pooja Iyer</t>
  </si>
  <si>
    <t xml:space="preserve">19. Find the number of OPD visits </t>
  </si>
  <si>
    <t>P1038</t>
  </si>
  <si>
    <t>Meena Das</t>
  </si>
  <si>
    <t>P1039</t>
  </si>
  <si>
    <t>Rahul Sharma</t>
  </si>
  <si>
    <t xml:space="preserve">20. Find total revenue from Insurance payments </t>
  </si>
  <si>
    <t>P1040</t>
  </si>
  <si>
    <t>P1041</t>
  </si>
  <si>
    <t>Meena Nair</t>
  </si>
  <si>
    <t>P1042</t>
  </si>
  <si>
    <t>Ravi Patel</t>
  </si>
  <si>
    <t>P1043</t>
  </si>
  <si>
    <t>Sneha Sharma</t>
  </si>
  <si>
    <t>P1044</t>
  </si>
  <si>
    <t>Arjun Das</t>
  </si>
  <si>
    <t>P1045</t>
  </si>
  <si>
    <t>Pooja Das</t>
  </si>
  <si>
    <t>P1046</t>
  </si>
  <si>
    <t>Kavya Devi</t>
  </si>
  <si>
    <t>P1047</t>
  </si>
  <si>
    <t>Priya Nair</t>
  </si>
  <si>
    <t>P1048</t>
  </si>
  <si>
    <t>P1049</t>
  </si>
  <si>
    <t>P1050</t>
  </si>
  <si>
    <t>Ravi Reddy</t>
  </si>
  <si>
    <t>P1051</t>
  </si>
  <si>
    <t>Kavya Sharma</t>
  </si>
  <si>
    <t>P1052</t>
  </si>
  <si>
    <t>Vijay Nair</t>
  </si>
  <si>
    <t>P1053</t>
  </si>
  <si>
    <t>P1054</t>
  </si>
  <si>
    <t>P1055</t>
  </si>
  <si>
    <t>Sneha Iyer</t>
  </si>
  <si>
    <t>P1056</t>
  </si>
  <si>
    <t>Deepa Patel</t>
  </si>
  <si>
    <t>P1057</t>
  </si>
  <si>
    <t>Priya Singh</t>
  </si>
  <si>
    <t>P1058</t>
  </si>
  <si>
    <t>Deepa Nair</t>
  </si>
  <si>
    <t>P1059</t>
  </si>
  <si>
    <t>Kiran Das</t>
  </si>
  <si>
    <t>P1060</t>
  </si>
  <si>
    <t>Deepa Iyer</t>
  </si>
  <si>
    <t>P1061</t>
  </si>
  <si>
    <t>P1062</t>
  </si>
  <si>
    <t>Manoj Devi</t>
  </si>
  <si>
    <t>P1063</t>
  </si>
  <si>
    <t>P1064</t>
  </si>
  <si>
    <t>Swathi Iyer</t>
  </si>
  <si>
    <t>P1065</t>
  </si>
  <si>
    <t>Swathi Singh</t>
  </si>
  <si>
    <t>P1066</t>
  </si>
  <si>
    <t>Pooja Rao</t>
  </si>
  <si>
    <t>P1067</t>
  </si>
  <si>
    <t>Vijay Reddy</t>
  </si>
  <si>
    <t>P1068</t>
  </si>
  <si>
    <t>P1069</t>
  </si>
  <si>
    <t>Sandeep Rao</t>
  </si>
  <si>
    <t>P1070</t>
  </si>
  <si>
    <t>Anil Das</t>
  </si>
  <si>
    <t>P1071</t>
  </si>
  <si>
    <t>Mohan Rao</t>
  </si>
  <si>
    <t>P1072</t>
  </si>
  <si>
    <t>Pooja Nair</t>
  </si>
  <si>
    <t>P1073</t>
  </si>
  <si>
    <t>Amit Kumar</t>
  </si>
  <si>
    <t>P1074</t>
  </si>
  <si>
    <t>Kiran Singh</t>
  </si>
  <si>
    <t>P1075</t>
  </si>
  <si>
    <t>Ravi Singh</t>
  </si>
  <si>
    <t>P1076</t>
  </si>
  <si>
    <t>P1077</t>
  </si>
  <si>
    <t>Pooja Reddy</t>
  </si>
  <si>
    <t>P1078</t>
  </si>
  <si>
    <t>Arjun Devi</t>
  </si>
  <si>
    <t>P1079</t>
  </si>
  <si>
    <t>P1080</t>
  </si>
  <si>
    <t>P1081</t>
  </si>
  <si>
    <t>Deepa Reddy</t>
  </si>
  <si>
    <t>P1082</t>
  </si>
  <si>
    <t>P1083</t>
  </si>
  <si>
    <t>Lakshmi Sharma</t>
  </si>
  <si>
    <t>P1084</t>
  </si>
  <si>
    <t>P1085</t>
  </si>
  <si>
    <t>P1086</t>
  </si>
  <si>
    <t>P1087</t>
  </si>
  <si>
    <t>Mohan Singh</t>
  </si>
  <si>
    <t>P1088</t>
  </si>
  <si>
    <t>P1089</t>
  </si>
  <si>
    <t>Vijay Rao</t>
  </si>
  <si>
    <t>P1090</t>
  </si>
  <si>
    <t>P1091</t>
  </si>
  <si>
    <t>Deepa Das</t>
  </si>
  <si>
    <t>P1092</t>
  </si>
  <si>
    <t>P1093</t>
  </si>
  <si>
    <t>P1094</t>
  </si>
  <si>
    <t>Neha Patel</t>
  </si>
  <si>
    <t>P1095</t>
  </si>
  <si>
    <t>Vijay Das</t>
  </si>
  <si>
    <t>P1096</t>
  </si>
  <si>
    <t>Sneha Patel</t>
  </si>
  <si>
    <t>P1097</t>
  </si>
  <si>
    <t>P1098</t>
  </si>
  <si>
    <t>P1099</t>
  </si>
  <si>
    <t>Priya Kumar</t>
  </si>
  <si>
    <t>P1100</t>
  </si>
  <si>
    <t>Ravi Iyer</t>
  </si>
  <si>
    <t>Practice Questions</t>
  </si>
  <si>
    <t>1. Calculate total hospital revenue.</t>
  </si>
  <si>
    <t xml:space="preserve">3. Find the maximum patient bill </t>
  </si>
  <si>
    <t>4. Count the number of patients</t>
  </si>
  <si>
    <t xml:space="preserve">5. Calculate the overall average bill </t>
  </si>
  <si>
    <t>6. Create Patient_Category using IF(): Bill &gt; 10000 = High Value, otherwise Regular.</t>
  </si>
  <si>
    <t xml:space="preserve">8. Calculate Neurology revenue </t>
  </si>
  <si>
    <t xml:space="preserve">10. Count Insurance patients </t>
  </si>
  <si>
    <t xml:space="preserve">17. Convert Patient_Name to lowercase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</si>
</sst>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7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pane ySplit="1" topLeftCell="A2" activePane="bottomLeft" state="frozen"/>
      <selection/>
      <selection pane="bottomLeft" activeCell="K44" sqref="K44"/>
    </sheetView>
  </sheetViews>
  <sheetFormatPr defaultColWidth="9" defaultRowHeight="14.5"/>
  <cols>
    <col min="1" max="1" width="13" customWidth="1"/>
    <col min="2" max="2" width="17" customWidth="1"/>
    <col min="3" max="3" width="6" customWidth="1"/>
    <col min="4" max="5" width="19" customWidth="1"/>
    <col min="6" max="6" width="13" customWidth="1"/>
    <col min="7" max="7" width="15" customWidth="1"/>
    <col min="8" max="9" width="14" customWidth="1"/>
    <col min="10" max="10" width="12.818181818181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 t="s">
        <v>9</v>
      </c>
      <c r="B2" t="s">
        <v>10</v>
      </c>
      <c r="C2">
        <v>36</v>
      </c>
      <c r="D2" t="s">
        <v>11</v>
      </c>
      <c r="E2" t="str">
        <f>IF(H2&gt;10000,"High Value","Regular")</f>
        <v>Regular</v>
      </c>
      <c r="F2" t="s">
        <v>12</v>
      </c>
      <c r="G2" t="s">
        <v>13</v>
      </c>
      <c r="H2" s="2">
        <v>10000</v>
      </c>
      <c r="I2" t="s">
        <v>14</v>
      </c>
      <c r="J2" t="s">
        <v>15</v>
      </c>
    </row>
    <row r="3" spans="1:12">
      <c r="A3" t="s">
        <v>16</v>
      </c>
      <c r="B3" t="s">
        <v>17</v>
      </c>
      <c r="C3">
        <v>8</v>
      </c>
      <c r="D3" t="s">
        <v>11</v>
      </c>
      <c r="E3" t="str">
        <f>IF(H3&gt;10000,"High Value","Regular")</f>
        <v>High Value</v>
      </c>
      <c r="F3" t="s">
        <v>18</v>
      </c>
      <c r="G3" t="s">
        <v>19</v>
      </c>
      <c r="H3" s="2">
        <v>17200</v>
      </c>
      <c r="I3" t="s">
        <v>14</v>
      </c>
      <c r="J3">
        <f>SUM(H2:H101)</f>
        <v>810600</v>
      </c>
    </row>
    <row r="4" spans="1:12">
      <c r="A4" t="s">
        <v>20</v>
      </c>
      <c r="B4" t="s">
        <v>21</v>
      </c>
      <c r="C4">
        <v>33</v>
      </c>
      <c r="D4" t="s">
        <v>22</v>
      </c>
      <c r="E4" t="str">
        <f t="shared" ref="E4:E35" si="0">IF(H4&gt;10000,"High Value","Regular")</f>
        <v>High Value</v>
      </c>
      <c r="F4" t="s">
        <v>18</v>
      </c>
      <c r="G4" t="s">
        <v>23</v>
      </c>
      <c r="H4" s="2">
        <v>19100</v>
      </c>
      <c r="I4" t="s">
        <v>24</v>
      </c>
      <c r="J4" t="s">
        <v>25</v>
      </c>
    </row>
    <row r="5" spans="1:12">
      <c r="A5" t="s">
        <v>26</v>
      </c>
      <c r="B5" t="s">
        <v>27</v>
      </c>
      <c r="C5">
        <v>59</v>
      </c>
      <c r="D5" t="s">
        <v>22</v>
      </c>
      <c r="E5" t="str">
        <f t="shared" si="0"/>
        <v>High Value</v>
      </c>
      <c r="F5" t="s">
        <v>18</v>
      </c>
      <c r="G5" t="s">
        <v>28</v>
      </c>
      <c r="H5" s="2">
        <v>18100</v>
      </c>
      <c r="I5" t="s">
        <v>24</v>
      </c>
      <c r="J5">
        <f>MIN(H2:H101)</f>
        <v>1200</v>
      </c>
    </row>
    <row r="6" spans="1:12">
      <c r="A6" t="s">
        <v>29</v>
      </c>
      <c r="B6" t="s">
        <v>30</v>
      </c>
      <c r="C6">
        <v>18</v>
      </c>
      <c r="D6" t="s">
        <v>31</v>
      </c>
      <c r="E6" t="str">
        <f t="shared" si="0"/>
        <v>Regular</v>
      </c>
      <c r="F6" t="s">
        <v>32</v>
      </c>
      <c r="G6" t="s">
        <v>13</v>
      </c>
      <c r="H6" s="2">
        <v>2600</v>
      </c>
      <c r="I6" t="s">
        <v>33</v>
      </c>
      <c r="J6" t="s">
        <v>34</v>
      </c>
    </row>
    <row r="7" spans="1:12">
      <c r="A7" t="s">
        <v>35</v>
      </c>
      <c r="B7" t="s">
        <v>36</v>
      </c>
      <c r="C7">
        <v>10</v>
      </c>
      <c r="D7" t="s">
        <v>37</v>
      </c>
      <c r="E7" t="str">
        <f t="shared" si="0"/>
        <v>Regular</v>
      </c>
      <c r="F7" t="s">
        <v>32</v>
      </c>
      <c r="G7" t="s">
        <v>13</v>
      </c>
      <c r="H7" s="2">
        <v>2500</v>
      </c>
      <c r="I7" t="s">
        <v>38</v>
      </c>
      <c r="J7">
        <f>MAX(H:H)</f>
        <v>19900</v>
      </c>
    </row>
    <row r="8" spans="1:12">
      <c r="A8" t="s">
        <v>39</v>
      </c>
      <c r="B8" t="s">
        <v>40</v>
      </c>
      <c r="C8">
        <v>51</v>
      </c>
      <c r="D8" t="s">
        <v>41</v>
      </c>
      <c r="E8" t="str">
        <f t="shared" si="0"/>
        <v>Regular</v>
      </c>
      <c r="F8" t="s">
        <v>12</v>
      </c>
      <c r="G8" t="s">
        <v>13</v>
      </c>
      <c r="H8" s="2">
        <v>5800</v>
      </c>
      <c r="I8" t="s">
        <v>42</v>
      </c>
      <c r="J8" t="s">
        <v>43</v>
      </c>
    </row>
    <row r="9" spans="1:12">
      <c r="A9" t="s">
        <v>44</v>
      </c>
      <c r="B9" t="s">
        <v>45</v>
      </c>
      <c r="C9">
        <v>15</v>
      </c>
      <c r="D9" t="s">
        <v>22</v>
      </c>
      <c r="E9" t="str">
        <f t="shared" si="0"/>
        <v>High Value</v>
      </c>
      <c r="F9" t="s">
        <v>18</v>
      </c>
      <c r="G9" t="s">
        <v>13</v>
      </c>
      <c r="H9" s="2">
        <v>19900</v>
      </c>
      <c r="I9" t="s">
        <v>24</v>
      </c>
      <c r="J9" s="3" t="s">
        <v>46</v>
      </c>
      <c r="L9" s="3" t="s">
        <v>47</v>
      </c>
    </row>
    <row r="10" spans="1:12">
      <c r="A10" t="s">
        <v>48</v>
      </c>
      <c r="B10" t="s">
        <v>49</v>
      </c>
      <c r="C10">
        <v>25</v>
      </c>
      <c r="D10" t="s">
        <v>50</v>
      </c>
      <c r="E10" t="str">
        <f t="shared" si="0"/>
        <v>Regular</v>
      </c>
      <c r="F10" t="s">
        <v>12</v>
      </c>
      <c r="G10" t="s">
        <v>13</v>
      </c>
      <c r="H10" s="2">
        <v>4400</v>
      </c>
      <c r="I10" t="s">
        <v>51</v>
      </c>
      <c r="J10" t="s">
        <v>52</v>
      </c>
    </row>
    <row r="11" spans="1:12">
      <c r="A11" t="s">
        <v>53</v>
      </c>
      <c r="B11" t="s">
        <v>54</v>
      </c>
      <c r="C11">
        <v>26</v>
      </c>
      <c r="D11" t="s">
        <v>50</v>
      </c>
      <c r="E11" t="str">
        <f t="shared" si="0"/>
        <v>Regular</v>
      </c>
      <c r="F11" t="s">
        <v>18</v>
      </c>
      <c r="G11" t="s">
        <v>19</v>
      </c>
      <c r="H11" s="2">
        <v>6500</v>
      </c>
      <c r="I11" t="s">
        <v>51</v>
      </c>
      <c r="J11">
        <f>AVERAGEA(H:H)</f>
        <v>8025.74257425743</v>
      </c>
    </row>
    <row r="12" spans="1:12">
      <c r="A12" t="s">
        <v>55</v>
      </c>
      <c r="B12" t="s">
        <v>56</v>
      </c>
      <c r="C12">
        <v>46</v>
      </c>
      <c r="D12" t="s">
        <v>57</v>
      </c>
      <c r="E12" t="str">
        <f t="shared" si="0"/>
        <v>Regular</v>
      </c>
      <c r="F12" t="s">
        <v>12</v>
      </c>
      <c r="G12" t="s">
        <v>28</v>
      </c>
      <c r="H12" s="2">
        <v>4500</v>
      </c>
      <c r="I12" t="s">
        <v>58</v>
      </c>
      <c r="J12" t="s">
        <v>59</v>
      </c>
    </row>
    <row r="13" spans="1:12">
      <c r="A13" t="s">
        <v>60</v>
      </c>
      <c r="B13" t="s">
        <v>61</v>
      </c>
      <c r="C13">
        <v>32</v>
      </c>
      <c r="D13" t="s">
        <v>37</v>
      </c>
      <c r="E13" t="str">
        <f t="shared" si="0"/>
        <v>Regular</v>
      </c>
      <c r="F13" t="s">
        <v>12</v>
      </c>
      <c r="G13" t="s">
        <v>19</v>
      </c>
      <c r="H13" s="2">
        <v>4900</v>
      </c>
      <c r="I13" t="s">
        <v>38</v>
      </c>
      <c r="J13" s="3" t="s">
        <v>62</v>
      </c>
    </row>
    <row r="14" spans="1:12">
      <c r="A14" t="s">
        <v>63</v>
      </c>
      <c r="B14" t="s">
        <v>64</v>
      </c>
      <c r="C14">
        <v>23</v>
      </c>
      <c r="D14" t="s">
        <v>57</v>
      </c>
      <c r="E14" t="str">
        <f t="shared" si="0"/>
        <v>Regular</v>
      </c>
      <c r="F14" t="s">
        <v>12</v>
      </c>
      <c r="G14" t="s">
        <v>23</v>
      </c>
      <c r="H14" s="2">
        <v>6200</v>
      </c>
      <c r="I14" t="s">
        <v>58</v>
      </c>
      <c r="J14" t="s">
        <v>65</v>
      </c>
    </row>
    <row r="15" spans="1:12">
      <c r="A15" t="s">
        <v>66</v>
      </c>
      <c r="B15" t="s">
        <v>67</v>
      </c>
      <c r="C15">
        <v>56</v>
      </c>
      <c r="D15" t="s">
        <v>50</v>
      </c>
      <c r="E15" t="str">
        <f t="shared" si="0"/>
        <v>Regular</v>
      </c>
      <c r="F15" t="s">
        <v>18</v>
      </c>
      <c r="G15" t="s">
        <v>23</v>
      </c>
      <c r="H15" s="2">
        <v>6300</v>
      </c>
      <c r="I15" t="s">
        <v>51</v>
      </c>
      <c r="J15">
        <f>SUMIF(D:D,"Cardiology",H:H)</f>
        <v>117900</v>
      </c>
    </row>
    <row r="16" spans="1:12">
      <c r="A16" t="s">
        <v>68</v>
      </c>
      <c r="B16" t="s">
        <v>69</v>
      </c>
      <c r="C16">
        <v>19</v>
      </c>
      <c r="D16" t="s">
        <v>57</v>
      </c>
      <c r="E16" t="str">
        <f t="shared" si="0"/>
        <v>Regular</v>
      </c>
      <c r="F16" t="s">
        <v>12</v>
      </c>
      <c r="G16" t="s">
        <v>19</v>
      </c>
      <c r="H16" s="2">
        <v>7700</v>
      </c>
      <c r="I16" t="s">
        <v>58</v>
      </c>
      <c r="J16" t="s">
        <v>70</v>
      </c>
    </row>
    <row r="17" spans="1:10">
      <c r="A17" t="s">
        <v>71</v>
      </c>
      <c r="B17" t="s">
        <v>72</v>
      </c>
      <c r="C17">
        <v>72</v>
      </c>
      <c r="D17" t="s">
        <v>11</v>
      </c>
      <c r="E17" t="str">
        <f t="shared" si="0"/>
        <v>Regular</v>
      </c>
      <c r="F17" t="s">
        <v>12</v>
      </c>
      <c r="G17" t="s">
        <v>23</v>
      </c>
      <c r="H17" s="2">
        <v>9300</v>
      </c>
      <c r="I17" t="s">
        <v>14</v>
      </c>
      <c r="J17">
        <f>SUMIF(D:D,"Neurology",H:H)</f>
        <v>127900</v>
      </c>
    </row>
    <row r="18" spans="1:10">
      <c r="A18" t="s">
        <v>73</v>
      </c>
      <c r="B18" t="s">
        <v>74</v>
      </c>
      <c r="C18">
        <v>48</v>
      </c>
      <c r="D18" t="s">
        <v>11</v>
      </c>
      <c r="E18" t="str">
        <f t="shared" si="0"/>
        <v>High Value</v>
      </c>
      <c r="F18" t="s">
        <v>18</v>
      </c>
      <c r="G18" t="s">
        <v>13</v>
      </c>
      <c r="H18" s="2">
        <v>18800</v>
      </c>
      <c r="I18" t="s">
        <v>14</v>
      </c>
      <c r="J18" t="s">
        <v>75</v>
      </c>
    </row>
    <row r="19" spans="1:10">
      <c r="A19" t="s">
        <v>76</v>
      </c>
      <c r="B19" t="s">
        <v>77</v>
      </c>
      <c r="C19">
        <v>69</v>
      </c>
      <c r="D19" t="s">
        <v>78</v>
      </c>
      <c r="E19" t="str">
        <f t="shared" si="0"/>
        <v>Regular</v>
      </c>
      <c r="F19" t="s">
        <v>12</v>
      </c>
      <c r="G19" t="s">
        <v>13</v>
      </c>
      <c r="H19" s="2">
        <v>8100</v>
      </c>
      <c r="I19" t="s">
        <v>79</v>
      </c>
      <c r="J19">
        <f>COUNTIF(F:F,"Emergency")</f>
        <v>28</v>
      </c>
    </row>
    <row r="20" spans="1:10">
      <c r="A20" t="s">
        <v>80</v>
      </c>
      <c r="B20" t="s">
        <v>81</v>
      </c>
      <c r="C20">
        <v>24</v>
      </c>
      <c r="D20" t="s">
        <v>50</v>
      </c>
      <c r="E20" t="str">
        <f t="shared" si="0"/>
        <v>Regular</v>
      </c>
      <c r="F20" t="s">
        <v>32</v>
      </c>
      <c r="G20" t="s">
        <v>28</v>
      </c>
      <c r="H20" s="2">
        <v>1200</v>
      </c>
      <c r="I20" t="s">
        <v>51</v>
      </c>
      <c r="J20" t="s">
        <v>82</v>
      </c>
    </row>
    <row r="21" spans="1:10">
      <c r="A21" t="s">
        <v>83</v>
      </c>
      <c r="B21" t="s">
        <v>84</v>
      </c>
      <c r="C21">
        <v>51</v>
      </c>
      <c r="D21" t="s">
        <v>37</v>
      </c>
      <c r="E21" t="str">
        <f t="shared" si="0"/>
        <v>Regular</v>
      </c>
      <c r="F21" t="s">
        <v>12</v>
      </c>
      <c r="G21" t="s">
        <v>19</v>
      </c>
      <c r="H21" s="2">
        <v>3700</v>
      </c>
      <c r="I21" t="s">
        <v>38</v>
      </c>
      <c r="J21">
        <f>COUNTIF(D8:H102,"Insurance")</f>
        <v>25</v>
      </c>
    </row>
    <row r="22" spans="1:10">
      <c r="A22" t="s">
        <v>85</v>
      </c>
      <c r="B22" t="s">
        <v>86</v>
      </c>
      <c r="C22">
        <v>15</v>
      </c>
      <c r="D22" t="s">
        <v>31</v>
      </c>
      <c r="E22" t="str">
        <f t="shared" si="0"/>
        <v>Regular</v>
      </c>
      <c r="F22" t="s">
        <v>32</v>
      </c>
      <c r="G22" t="s">
        <v>19</v>
      </c>
      <c r="H22" s="2">
        <v>2800</v>
      </c>
      <c r="I22" t="s">
        <v>33</v>
      </c>
      <c r="J22" t="s">
        <v>87</v>
      </c>
    </row>
    <row r="23" spans="1:10">
      <c r="A23" t="s">
        <v>88</v>
      </c>
      <c r="B23" t="s">
        <v>89</v>
      </c>
      <c r="C23">
        <v>38</v>
      </c>
      <c r="D23" t="s">
        <v>78</v>
      </c>
      <c r="E23" t="str">
        <f t="shared" si="0"/>
        <v>High Value</v>
      </c>
      <c r="F23" t="s">
        <v>18</v>
      </c>
      <c r="G23" t="s">
        <v>28</v>
      </c>
      <c r="H23" s="2">
        <v>15600</v>
      </c>
      <c r="I23" t="s">
        <v>79</v>
      </c>
      <c r="J23">
        <f>AVERAGEIF(F:F,"Emergency",H:H)</f>
        <v>12532.1428571429</v>
      </c>
    </row>
    <row r="24" spans="1:10">
      <c r="A24" t="s">
        <v>90</v>
      </c>
      <c r="B24" t="s">
        <v>91</v>
      </c>
      <c r="C24">
        <v>44</v>
      </c>
      <c r="D24" t="s">
        <v>31</v>
      </c>
      <c r="E24" t="str">
        <f t="shared" si="0"/>
        <v>Regular</v>
      </c>
      <c r="F24" t="s">
        <v>32</v>
      </c>
      <c r="G24" t="s">
        <v>28</v>
      </c>
      <c r="H24" s="2">
        <v>5400</v>
      </c>
      <c r="I24" t="s">
        <v>33</v>
      </c>
      <c r="J24" t="s">
        <v>92</v>
      </c>
    </row>
    <row r="25" spans="1:10">
      <c r="A25" t="s">
        <v>93</v>
      </c>
      <c r="B25" t="s">
        <v>94</v>
      </c>
      <c r="C25">
        <v>13</v>
      </c>
      <c r="D25" t="s">
        <v>57</v>
      </c>
      <c r="E25" t="str">
        <f t="shared" si="0"/>
        <v>Regular</v>
      </c>
      <c r="F25" t="s">
        <v>12</v>
      </c>
      <c r="G25" t="s">
        <v>28</v>
      </c>
      <c r="H25" s="2">
        <v>6100</v>
      </c>
      <c r="I25" t="s">
        <v>58</v>
      </c>
      <c r="J25">
        <f>AVERAGEIF(D:D,"Cardiology",H:H)</f>
        <v>14737.5</v>
      </c>
    </row>
    <row r="26" spans="1:10">
      <c r="A26" t="s">
        <v>95</v>
      </c>
      <c r="B26" t="s">
        <v>96</v>
      </c>
      <c r="C26">
        <v>34</v>
      </c>
      <c r="D26" t="s">
        <v>31</v>
      </c>
      <c r="E26" t="str">
        <f t="shared" si="0"/>
        <v>Regular</v>
      </c>
      <c r="F26" t="s">
        <v>12</v>
      </c>
      <c r="G26" t="s">
        <v>19</v>
      </c>
      <c r="H26" s="2">
        <v>6400</v>
      </c>
      <c r="I26" t="s">
        <v>33</v>
      </c>
      <c r="J26" t="s">
        <v>97</v>
      </c>
    </row>
    <row r="27" spans="1:10">
      <c r="A27" t="s">
        <v>98</v>
      </c>
      <c r="B27" t="s">
        <v>99</v>
      </c>
      <c r="C27">
        <v>67</v>
      </c>
      <c r="D27" t="s">
        <v>11</v>
      </c>
      <c r="E27" t="str">
        <f t="shared" si="0"/>
        <v>High Value</v>
      </c>
      <c r="F27" t="s">
        <v>12</v>
      </c>
      <c r="G27" t="s">
        <v>13</v>
      </c>
      <c r="H27" s="2">
        <v>10300</v>
      </c>
      <c r="I27" t="s">
        <v>14</v>
      </c>
      <c r="J27" t="str">
        <f>LEFT(I11,3)</f>
        <v>DOC</v>
      </c>
    </row>
    <row r="28" spans="1:10">
      <c r="A28" t="s">
        <v>100</v>
      </c>
      <c r="B28" t="s">
        <v>101</v>
      </c>
      <c r="C28">
        <v>57</v>
      </c>
      <c r="D28" t="s">
        <v>57</v>
      </c>
      <c r="E28" t="str">
        <f t="shared" si="0"/>
        <v>Regular</v>
      </c>
      <c r="F28" t="s">
        <v>12</v>
      </c>
      <c r="G28" t="s">
        <v>23</v>
      </c>
      <c r="H28" s="2">
        <v>5000</v>
      </c>
      <c r="I28" t="s">
        <v>58</v>
      </c>
      <c r="J28" t="s">
        <v>102</v>
      </c>
    </row>
    <row r="29" spans="1:10">
      <c r="A29" t="s">
        <v>103</v>
      </c>
      <c r="B29" t="s">
        <v>104</v>
      </c>
      <c r="C29">
        <v>64</v>
      </c>
      <c r="D29" t="s">
        <v>41</v>
      </c>
      <c r="E29" t="str">
        <f t="shared" si="0"/>
        <v>Regular</v>
      </c>
      <c r="F29" t="s">
        <v>12</v>
      </c>
      <c r="G29" t="s">
        <v>23</v>
      </c>
      <c r="H29" s="2">
        <v>5700</v>
      </c>
      <c r="I29" t="s">
        <v>42</v>
      </c>
      <c r="J29" t="str">
        <f>RIGHT(I11,3)</f>
        <v>105</v>
      </c>
    </row>
    <row r="30" spans="1:10">
      <c r="A30" t="s">
        <v>105</v>
      </c>
      <c r="B30" t="s">
        <v>106</v>
      </c>
      <c r="C30">
        <v>36</v>
      </c>
      <c r="D30" t="s">
        <v>41</v>
      </c>
      <c r="E30" t="str">
        <f t="shared" si="0"/>
        <v>High Value</v>
      </c>
      <c r="F30" t="s">
        <v>18</v>
      </c>
      <c r="G30" t="s">
        <v>19</v>
      </c>
      <c r="H30" s="2">
        <v>12700</v>
      </c>
      <c r="I30" t="s">
        <v>42</v>
      </c>
      <c r="J30" t="s">
        <v>107</v>
      </c>
    </row>
    <row r="31" spans="1:10">
      <c r="A31" t="s">
        <v>108</v>
      </c>
      <c r="B31" t="s">
        <v>45</v>
      </c>
      <c r="C31">
        <v>64</v>
      </c>
      <c r="D31" t="s">
        <v>78</v>
      </c>
      <c r="E31" t="str">
        <f t="shared" si="0"/>
        <v>High Value</v>
      </c>
      <c r="F31" t="s">
        <v>12</v>
      </c>
      <c r="G31" t="s">
        <v>13</v>
      </c>
      <c r="H31" s="2">
        <v>10800</v>
      </c>
      <c r="I31" t="s">
        <v>79</v>
      </c>
      <c r="J31" t="str">
        <f>RIGHT(A20,4)</f>
        <v>1019</v>
      </c>
    </row>
    <row r="32" spans="1:10">
      <c r="A32" t="s">
        <v>109</v>
      </c>
      <c r="B32" t="s">
        <v>10</v>
      </c>
      <c r="C32">
        <v>16</v>
      </c>
      <c r="D32" t="s">
        <v>11</v>
      </c>
      <c r="E32" t="str">
        <f t="shared" si="0"/>
        <v>High Value</v>
      </c>
      <c r="F32" t="s">
        <v>12</v>
      </c>
      <c r="G32" t="s">
        <v>19</v>
      </c>
      <c r="H32" s="2">
        <v>12500</v>
      </c>
      <c r="I32" t="s">
        <v>14</v>
      </c>
      <c r="J32" t="s">
        <v>110</v>
      </c>
    </row>
    <row r="33" spans="1:10">
      <c r="A33" t="s">
        <v>111</v>
      </c>
      <c r="B33" t="s">
        <v>112</v>
      </c>
      <c r="C33">
        <v>12</v>
      </c>
      <c r="D33" t="s">
        <v>57</v>
      </c>
      <c r="E33" t="str">
        <f t="shared" si="0"/>
        <v>Regular</v>
      </c>
      <c r="F33" t="s">
        <v>12</v>
      </c>
      <c r="G33" t="s">
        <v>23</v>
      </c>
      <c r="H33" s="2">
        <v>4200</v>
      </c>
      <c r="I33" t="s">
        <v>58</v>
      </c>
      <c r="J33" t="str">
        <f>UPPER(B20)</f>
        <v>DIVYA REDDY</v>
      </c>
    </row>
    <row r="34" spans="1:10">
      <c r="A34" t="s">
        <v>113</v>
      </c>
      <c r="B34" t="s">
        <v>114</v>
      </c>
      <c r="C34">
        <v>41</v>
      </c>
      <c r="D34" t="s">
        <v>41</v>
      </c>
      <c r="E34" t="str">
        <f t="shared" si="0"/>
        <v>Regular</v>
      </c>
      <c r="F34" t="s">
        <v>12</v>
      </c>
      <c r="G34" t="s">
        <v>23</v>
      </c>
      <c r="H34" s="2">
        <v>9200</v>
      </c>
      <c r="I34" t="s">
        <v>42</v>
      </c>
      <c r="J34" t="s">
        <v>115</v>
      </c>
    </row>
    <row r="35" spans="1:10">
      <c r="A35" t="s">
        <v>116</v>
      </c>
      <c r="B35" t="s">
        <v>117</v>
      </c>
      <c r="C35">
        <v>12</v>
      </c>
      <c r="D35" t="s">
        <v>78</v>
      </c>
      <c r="E35" t="str">
        <f t="shared" si="0"/>
        <v>Regular</v>
      </c>
      <c r="F35" t="s">
        <v>12</v>
      </c>
      <c r="G35" t="s">
        <v>28</v>
      </c>
      <c r="H35" s="2">
        <v>7700</v>
      </c>
      <c r="I35" t="s">
        <v>79</v>
      </c>
      <c r="J35" t="str">
        <f>LOWER(B20)</f>
        <v>divya reddy</v>
      </c>
    </row>
    <row r="36" spans="1:10">
      <c r="A36" t="s">
        <v>118</v>
      </c>
      <c r="B36" t="s">
        <v>119</v>
      </c>
      <c r="C36">
        <v>69</v>
      </c>
      <c r="D36" t="s">
        <v>37</v>
      </c>
      <c r="E36" t="str">
        <f t="shared" ref="E36:E67" si="1">IF(H36&gt;10000,"High Value","Regular")</f>
        <v>Regular</v>
      </c>
      <c r="F36" t="s">
        <v>12</v>
      </c>
      <c r="G36" t="s">
        <v>23</v>
      </c>
      <c r="H36" s="2">
        <v>3700</v>
      </c>
      <c r="I36" t="s">
        <v>38</v>
      </c>
      <c r="J36" t="s">
        <v>120</v>
      </c>
    </row>
    <row r="37" spans="1:10">
      <c r="A37" t="s">
        <v>121</v>
      </c>
      <c r="B37" t="s">
        <v>122</v>
      </c>
      <c r="C37">
        <v>13</v>
      </c>
      <c r="D37" t="s">
        <v>11</v>
      </c>
      <c r="E37" t="str">
        <f t="shared" si="1"/>
        <v>Regular</v>
      </c>
      <c r="F37" t="s">
        <v>32</v>
      </c>
      <c r="G37" t="s">
        <v>19</v>
      </c>
      <c r="H37" s="2">
        <v>6300</v>
      </c>
      <c r="I37" t="s">
        <v>14</v>
      </c>
      <c r="J37" t="str">
        <f>PROPER(B20)</f>
        <v>Divya Reddy</v>
      </c>
    </row>
    <row r="38" spans="1:10">
      <c r="A38" t="s">
        <v>123</v>
      </c>
      <c r="B38" t="s">
        <v>124</v>
      </c>
      <c r="C38">
        <v>15</v>
      </c>
      <c r="D38" t="s">
        <v>31</v>
      </c>
      <c r="E38" t="str">
        <f t="shared" si="1"/>
        <v>High Value</v>
      </c>
      <c r="F38" t="s">
        <v>18</v>
      </c>
      <c r="G38" t="s">
        <v>19</v>
      </c>
      <c r="H38" s="2">
        <v>11000</v>
      </c>
      <c r="I38" t="s">
        <v>33</v>
      </c>
      <c r="J38" t="s">
        <v>125</v>
      </c>
    </row>
    <row r="39" spans="1:10">
      <c r="A39" t="s">
        <v>126</v>
      </c>
      <c r="B39" t="s">
        <v>127</v>
      </c>
      <c r="C39">
        <v>45</v>
      </c>
      <c r="D39" t="s">
        <v>37</v>
      </c>
      <c r="E39" t="str">
        <f t="shared" si="1"/>
        <v>Regular</v>
      </c>
      <c r="F39" t="s">
        <v>32</v>
      </c>
      <c r="G39" t="s">
        <v>28</v>
      </c>
      <c r="H39" s="2">
        <v>4700</v>
      </c>
      <c r="I39" t="s">
        <v>38</v>
      </c>
      <c r="J39">
        <f>COUNTIF(F:F,"OPD")</f>
        <v>55</v>
      </c>
    </row>
    <row r="40" spans="1:10">
      <c r="A40" t="s">
        <v>128</v>
      </c>
      <c r="B40" t="s">
        <v>129</v>
      </c>
      <c r="C40">
        <v>63</v>
      </c>
      <c r="D40" t="s">
        <v>78</v>
      </c>
      <c r="E40" t="str">
        <f t="shared" si="1"/>
        <v>High Value</v>
      </c>
      <c r="F40" t="s">
        <v>18</v>
      </c>
      <c r="G40" t="s">
        <v>13</v>
      </c>
      <c r="H40" s="2">
        <v>12200</v>
      </c>
      <c r="I40" t="s">
        <v>79</v>
      </c>
      <c r="J40" t="s">
        <v>130</v>
      </c>
    </row>
    <row r="41" spans="1:10">
      <c r="A41" t="s">
        <v>131</v>
      </c>
      <c r="B41" t="s">
        <v>54</v>
      </c>
      <c r="C41">
        <v>14</v>
      </c>
      <c r="D41" t="s">
        <v>57</v>
      </c>
      <c r="E41" t="str">
        <f t="shared" si="1"/>
        <v>High Value</v>
      </c>
      <c r="F41" t="s">
        <v>18</v>
      </c>
      <c r="G41" t="s">
        <v>19</v>
      </c>
      <c r="H41" s="2">
        <v>11600</v>
      </c>
      <c r="I41" t="s">
        <v>58</v>
      </c>
      <c r="J41">
        <f>SUMIF(G:G,G28,H:H)</f>
        <v>197000</v>
      </c>
    </row>
    <row r="42" spans="1:10">
      <c r="A42" t="s">
        <v>132</v>
      </c>
      <c r="B42" t="s">
        <v>133</v>
      </c>
      <c r="C42">
        <v>13</v>
      </c>
      <c r="D42" t="s">
        <v>50</v>
      </c>
      <c r="E42" t="str">
        <f t="shared" si="1"/>
        <v>Regular</v>
      </c>
      <c r="F42" t="s">
        <v>12</v>
      </c>
      <c r="G42" t="s">
        <v>13</v>
      </c>
      <c r="H42" s="2">
        <v>5000</v>
      </c>
      <c r="I42" t="s">
        <v>51</v>
      </c>
    </row>
    <row r="43" spans="1:10">
      <c r="A43" t="s">
        <v>134</v>
      </c>
      <c r="B43" t="s">
        <v>135</v>
      </c>
      <c r="C43">
        <v>72</v>
      </c>
      <c r="D43" t="s">
        <v>78</v>
      </c>
      <c r="E43" t="str">
        <f t="shared" si="1"/>
        <v>Regular</v>
      </c>
      <c r="F43" t="s">
        <v>12</v>
      </c>
      <c r="G43" t="s">
        <v>13</v>
      </c>
      <c r="H43" s="2">
        <v>9700</v>
      </c>
      <c r="I43" t="s">
        <v>79</v>
      </c>
    </row>
    <row r="44" spans="1:10">
      <c r="A44" t="s">
        <v>136</v>
      </c>
      <c r="B44" t="s">
        <v>137</v>
      </c>
      <c r="C44">
        <v>38</v>
      </c>
      <c r="D44" t="s">
        <v>11</v>
      </c>
      <c r="E44" t="str">
        <f t="shared" si="1"/>
        <v>Regular</v>
      </c>
      <c r="F44" t="s">
        <v>32</v>
      </c>
      <c r="G44" t="s">
        <v>28</v>
      </c>
      <c r="H44" s="2">
        <v>6600</v>
      </c>
      <c r="I44" t="s">
        <v>14</v>
      </c>
    </row>
    <row r="45" spans="1:10">
      <c r="A45" t="s">
        <v>138</v>
      </c>
      <c r="B45" t="s">
        <v>139</v>
      </c>
      <c r="C45">
        <v>48</v>
      </c>
      <c r="D45" t="s">
        <v>50</v>
      </c>
      <c r="E45" t="str">
        <f t="shared" si="1"/>
        <v>Regular</v>
      </c>
      <c r="F45" t="s">
        <v>12</v>
      </c>
      <c r="G45" t="s">
        <v>28</v>
      </c>
      <c r="H45" s="2">
        <v>6800</v>
      </c>
      <c r="I45" t="s">
        <v>51</v>
      </c>
    </row>
    <row r="46" spans="1:10">
      <c r="A46" t="s">
        <v>140</v>
      </c>
      <c r="B46" t="s">
        <v>141</v>
      </c>
      <c r="C46">
        <v>16</v>
      </c>
      <c r="D46" t="s">
        <v>57</v>
      </c>
      <c r="E46" t="str">
        <f t="shared" si="1"/>
        <v>Regular</v>
      </c>
      <c r="F46" t="s">
        <v>12</v>
      </c>
      <c r="G46" t="s">
        <v>19</v>
      </c>
      <c r="H46" s="2">
        <v>4600</v>
      </c>
      <c r="I46" t="s">
        <v>58</v>
      </c>
    </row>
    <row r="47" spans="1:10">
      <c r="A47" t="s">
        <v>142</v>
      </c>
      <c r="B47" t="s">
        <v>143</v>
      </c>
      <c r="C47">
        <v>38</v>
      </c>
      <c r="D47" t="s">
        <v>22</v>
      </c>
      <c r="E47" t="str">
        <f t="shared" si="1"/>
        <v>High Value</v>
      </c>
      <c r="F47" t="s">
        <v>12</v>
      </c>
      <c r="G47" t="s">
        <v>28</v>
      </c>
      <c r="H47" s="2">
        <v>13700</v>
      </c>
      <c r="I47" t="s">
        <v>24</v>
      </c>
    </row>
    <row r="48" spans="1:10">
      <c r="A48" t="s">
        <v>144</v>
      </c>
      <c r="B48" t="s">
        <v>145</v>
      </c>
      <c r="C48">
        <v>74</v>
      </c>
      <c r="D48" t="s">
        <v>22</v>
      </c>
      <c r="E48" t="str">
        <f t="shared" si="1"/>
        <v>High Value</v>
      </c>
      <c r="F48" t="s">
        <v>12</v>
      </c>
      <c r="G48" t="s">
        <v>28</v>
      </c>
      <c r="H48" s="2">
        <v>11400</v>
      </c>
      <c r="I48" t="s">
        <v>24</v>
      </c>
    </row>
    <row r="49" spans="1:9">
      <c r="A49" t="s">
        <v>146</v>
      </c>
      <c r="B49" t="s">
        <v>145</v>
      </c>
      <c r="C49">
        <v>51</v>
      </c>
      <c r="D49" t="s">
        <v>41</v>
      </c>
      <c r="E49" t="str">
        <f t="shared" si="1"/>
        <v>Regular</v>
      </c>
      <c r="F49" t="s">
        <v>12</v>
      </c>
      <c r="G49" t="s">
        <v>13</v>
      </c>
      <c r="H49" s="2">
        <v>6900</v>
      </c>
      <c r="I49" t="s">
        <v>42</v>
      </c>
    </row>
    <row r="50" spans="1:9">
      <c r="A50" t="s">
        <v>147</v>
      </c>
      <c r="B50" t="s">
        <v>124</v>
      </c>
      <c r="C50">
        <v>76</v>
      </c>
      <c r="D50" t="s">
        <v>31</v>
      </c>
      <c r="E50" t="str">
        <f t="shared" si="1"/>
        <v>Regular</v>
      </c>
      <c r="F50" t="s">
        <v>18</v>
      </c>
      <c r="G50" t="s">
        <v>13</v>
      </c>
      <c r="H50" s="2">
        <v>8000</v>
      </c>
      <c r="I50" t="s">
        <v>33</v>
      </c>
    </row>
    <row r="51" spans="1:9">
      <c r="A51" t="s">
        <v>148</v>
      </c>
      <c r="B51" t="s">
        <v>149</v>
      </c>
      <c r="C51">
        <v>57</v>
      </c>
      <c r="D51" t="s">
        <v>31</v>
      </c>
      <c r="E51" t="str">
        <f t="shared" si="1"/>
        <v>Regular</v>
      </c>
      <c r="F51" t="s">
        <v>32</v>
      </c>
      <c r="G51" t="s">
        <v>28</v>
      </c>
      <c r="H51" s="2">
        <v>4500</v>
      </c>
      <c r="I51" t="s">
        <v>33</v>
      </c>
    </row>
    <row r="52" spans="1:9">
      <c r="A52" t="s">
        <v>150</v>
      </c>
      <c r="B52" t="s">
        <v>151</v>
      </c>
      <c r="C52">
        <v>39</v>
      </c>
      <c r="D52" t="s">
        <v>41</v>
      </c>
      <c r="E52" t="str">
        <f t="shared" si="1"/>
        <v>Regular</v>
      </c>
      <c r="F52" t="s">
        <v>32</v>
      </c>
      <c r="G52" t="s">
        <v>28</v>
      </c>
      <c r="H52" s="2">
        <v>5900</v>
      </c>
      <c r="I52" t="s">
        <v>42</v>
      </c>
    </row>
    <row r="53" spans="1:9">
      <c r="A53" t="s">
        <v>152</v>
      </c>
      <c r="B53" t="s">
        <v>153</v>
      </c>
      <c r="C53">
        <v>30</v>
      </c>
      <c r="D53" t="s">
        <v>22</v>
      </c>
      <c r="E53" t="str">
        <f t="shared" si="1"/>
        <v>Regular</v>
      </c>
      <c r="F53" t="s">
        <v>32</v>
      </c>
      <c r="G53" t="s">
        <v>28</v>
      </c>
      <c r="H53" s="2">
        <v>8500</v>
      </c>
      <c r="I53" t="s">
        <v>24</v>
      </c>
    </row>
    <row r="54" spans="1:9">
      <c r="A54" t="s">
        <v>154</v>
      </c>
      <c r="B54" t="s">
        <v>27</v>
      </c>
      <c r="C54">
        <v>56</v>
      </c>
      <c r="D54" t="s">
        <v>31</v>
      </c>
      <c r="E54" t="str">
        <f t="shared" si="1"/>
        <v>Regular</v>
      </c>
      <c r="F54" t="s">
        <v>12</v>
      </c>
      <c r="G54" t="s">
        <v>28</v>
      </c>
      <c r="H54" s="2">
        <v>4300</v>
      </c>
      <c r="I54" t="s">
        <v>33</v>
      </c>
    </row>
    <row r="55" spans="1:9">
      <c r="A55" t="s">
        <v>155</v>
      </c>
      <c r="B55" t="s">
        <v>94</v>
      </c>
      <c r="C55">
        <v>73</v>
      </c>
      <c r="D55" t="s">
        <v>50</v>
      </c>
      <c r="E55" t="str">
        <f t="shared" si="1"/>
        <v>Regular</v>
      </c>
      <c r="F55" t="s">
        <v>12</v>
      </c>
      <c r="G55" t="s">
        <v>23</v>
      </c>
      <c r="H55" s="2">
        <v>3600</v>
      </c>
      <c r="I55" t="s">
        <v>51</v>
      </c>
    </row>
    <row r="56" spans="1:9">
      <c r="A56" t="s">
        <v>156</v>
      </c>
      <c r="B56" t="s">
        <v>157</v>
      </c>
      <c r="C56">
        <v>9</v>
      </c>
      <c r="D56" t="s">
        <v>50</v>
      </c>
      <c r="E56" t="str">
        <f t="shared" si="1"/>
        <v>Regular</v>
      </c>
      <c r="F56" t="s">
        <v>12</v>
      </c>
      <c r="G56" t="s">
        <v>13</v>
      </c>
      <c r="H56" s="2">
        <v>6300</v>
      </c>
      <c r="I56" t="s">
        <v>51</v>
      </c>
    </row>
    <row r="57" spans="1:9">
      <c r="A57" t="s">
        <v>158</v>
      </c>
      <c r="B57" t="s">
        <v>159</v>
      </c>
      <c r="C57">
        <v>60</v>
      </c>
      <c r="D57" t="s">
        <v>37</v>
      </c>
      <c r="E57" t="str">
        <f t="shared" si="1"/>
        <v>Regular</v>
      </c>
      <c r="F57" t="s">
        <v>18</v>
      </c>
      <c r="G57" t="s">
        <v>13</v>
      </c>
      <c r="H57" s="2">
        <v>6900</v>
      </c>
      <c r="I57" t="s">
        <v>38</v>
      </c>
    </row>
    <row r="58" spans="1:9">
      <c r="A58" t="s">
        <v>160</v>
      </c>
      <c r="B58" t="s">
        <v>161</v>
      </c>
      <c r="C58">
        <v>37</v>
      </c>
      <c r="D58" t="s">
        <v>41</v>
      </c>
      <c r="E58" t="str">
        <f t="shared" si="1"/>
        <v>Regular</v>
      </c>
      <c r="F58" t="s">
        <v>32</v>
      </c>
      <c r="G58" t="s">
        <v>28</v>
      </c>
      <c r="H58" s="2">
        <v>2800</v>
      </c>
      <c r="I58" t="s">
        <v>42</v>
      </c>
    </row>
    <row r="59" spans="1:9">
      <c r="A59" t="s">
        <v>162</v>
      </c>
      <c r="B59" t="s">
        <v>163</v>
      </c>
      <c r="C59">
        <v>47</v>
      </c>
      <c r="D59" t="s">
        <v>31</v>
      </c>
      <c r="E59" t="str">
        <f t="shared" si="1"/>
        <v>Regular</v>
      </c>
      <c r="F59" t="s">
        <v>12</v>
      </c>
      <c r="G59" t="s">
        <v>19</v>
      </c>
      <c r="H59" s="2">
        <v>4700</v>
      </c>
      <c r="I59" t="s">
        <v>33</v>
      </c>
    </row>
    <row r="60" spans="1:9">
      <c r="A60" t="s">
        <v>164</v>
      </c>
      <c r="B60" t="s">
        <v>165</v>
      </c>
      <c r="C60">
        <v>46</v>
      </c>
      <c r="D60" t="s">
        <v>50</v>
      </c>
      <c r="E60" t="str">
        <f t="shared" si="1"/>
        <v>Regular</v>
      </c>
      <c r="F60" t="s">
        <v>12</v>
      </c>
      <c r="G60" t="s">
        <v>23</v>
      </c>
      <c r="H60" s="2">
        <v>3700</v>
      </c>
      <c r="I60" t="s">
        <v>51</v>
      </c>
    </row>
    <row r="61" spans="1:9">
      <c r="A61" t="s">
        <v>166</v>
      </c>
      <c r="B61" t="s">
        <v>167</v>
      </c>
      <c r="C61">
        <v>27</v>
      </c>
      <c r="D61" t="s">
        <v>31</v>
      </c>
      <c r="E61" t="str">
        <f t="shared" si="1"/>
        <v>Regular</v>
      </c>
      <c r="F61" t="s">
        <v>12</v>
      </c>
      <c r="G61" t="s">
        <v>23</v>
      </c>
      <c r="H61" s="2">
        <v>6200</v>
      </c>
      <c r="I61" t="s">
        <v>33</v>
      </c>
    </row>
    <row r="62" spans="1:9">
      <c r="A62" t="s">
        <v>168</v>
      </c>
      <c r="B62" t="s">
        <v>84</v>
      </c>
      <c r="C62">
        <v>43</v>
      </c>
      <c r="D62" t="s">
        <v>41</v>
      </c>
      <c r="E62" t="str">
        <f t="shared" si="1"/>
        <v>Regular</v>
      </c>
      <c r="F62" t="s">
        <v>12</v>
      </c>
      <c r="G62" t="s">
        <v>19</v>
      </c>
      <c r="H62" s="2">
        <v>8700</v>
      </c>
      <c r="I62" t="s">
        <v>42</v>
      </c>
    </row>
    <row r="63" spans="1:9">
      <c r="A63" t="s">
        <v>169</v>
      </c>
      <c r="B63" t="s">
        <v>170</v>
      </c>
      <c r="C63">
        <v>32</v>
      </c>
      <c r="D63" t="s">
        <v>37</v>
      </c>
      <c r="E63" t="str">
        <f t="shared" si="1"/>
        <v>Regular</v>
      </c>
      <c r="F63" t="s">
        <v>12</v>
      </c>
      <c r="G63" t="s">
        <v>23</v>
      </c>
      <c r="H63" s="2">
        <v>4600</v>
      </c>
      <c r="I63" t="s">
        <v>38</v>
      </c>
    </row>
    <row r="64" spans="1:9">
      <c r="A64" t="s">
        <v>171</v>
      </c>
      <c r="B64" t="s">
        <v>127</v>
      </c>
      <c r="C64">
        <v>16</v>
      </c>
      <c r="D64" t="s">
        <v>11</v>
      </c>
      <c r="E64" t="str">
        <f t="shared" si="1"/>
        <v>High Value</v>
      </c>
      <c r="F64" t="s">
        <v>12</v>
      </c>
      <c r="G64" t="s">
        <v>13</v>
      </c>
      <c r="H64" s="2">
        <v>11000</v>
      </c>
      <c r="I64" t="s">
        <v>14</v>
      </c>
    </row>
    <row r="65" spans="1:9">
      <c r="A65" t="s">
        <v>172</v>
      </c>
      <c r="B65" t="s">
        <v>173</v>
      </c>
      <c r="C65">
        <v>36</v>
      </c>
      <c r="D65" t="s">
        <v>31</v>
      </c>
      <c r="E65" t="str">
        <f t="shared" si="1"/>
        <v>Regular</v>
      </c>
      <c r="F65" t="s">
        <v>12</v>
      </c>
      <c r="G65" t="s">
        <v>19</v>
      </c>
      <c r="H65" s="2">
        <v>4300</v>
      </c>
      <c r="I65" t="s">
        <v>33</v>
      </c>
    </row>
    <row r="66" spans="1:9">
      <c r="A66" t="s">
        <v>174</v>
      </c>
      <c r="B66" t="s">
        <v>175</v>
      </c>
      <c r="C66">
        <v>54</v>
      </c>
      <c r="D66" t="s">
        <v>57</v>
      </c>
      <c r="E66" t="str">
        <f t="shared" si="1"/>
        <v>Regular</v>
      </c>
      <c r="F66" t="s">
        <v>12</v>
      </c>
      <c r="G66" t="s">
        <v>28</v>
      </c>
      <c r="H66" s="2">
        <v>6200</v>
      </c>
      <c r="I66" t="s">
        <v>58</v>
      </c>
    </row>
    <row r="67" spans="1:9">
      <c r="A67" t="s">
        <v>176</v>
      </c>
      <c r="B67" t="s">
        <v>177</v>
      </c>
      <c r="C67">
        <v>18</v>
      </c>
      <c r="D67" t="s">
        <v>78</v>
      </c>
      <c r="E67" t="str">
        <f t="shared" si="1"/>
        <v>High Value</v>
      </c>
      <c r="F67" t="s">
        <v>18</v>
      </c>
      <c r="G67" t="s">
        <v>19</v>
      </c>
      <c r="H67" s="2">
        <v>13600</v>
      </c>
      <c r="I67" t="s">
        <v>79</v>
      </c>
    </row>
    <row r="68" spans="1:9">
      <c r="A68" t="s">
        <v>178</v>
      </c>
      <c r="B68" t="s">
        <v>179</v>
      </c>
      <c r="C68">
        <v>20</v>
      </c>
      <c r="D68" t="s">
        <v>57</v>
      </c>
      <c r="E68" t="str">
        <f t="shared" ref="E68:E99" si="2">IF(H68&gt;10000,"High Value","Regular")</f>
        <v>Regular</v>
      </c>
      <c r="F68" t="s">
        <v>12</v>
      </c>
      <c r="G68" t="s">
        <v>28</v>
      </c>
      <c r="H68" s="2">
        <v>8000</v>
      </c>
      <c r="I68" t="s">
        <v>58</v>
      </c>
    </row>
    <row r="69" spans="1:9">
      <c r="A69" t="s">
        <v>180</v>
      </c>
      <c r="B69" t="s">
        <v>114</v>
      </c>
      <c r="C69">
        <v>69</v>
      </c>
      <c r="D69" t="s">
        <v>37</v>
      </c>
      <c r="E69" t="str">
        <f t="shared" si="2"/>
        <v>Regular</v>
      </c>
      <c r="F69" t="s">
        <v>32</v>
      </c>
      <c r="G69" t="s">
        <v>23</v>
      </c>
      <c r="H69" s="2">
        <v>5100</v>
      </c>
      <c r="I69" t="s">
        <v>38</v>
      </c>
    </row>
    <row r="70" spans="1:9">
      <c r="A70" t="s">
        <v>181</v>
      </c>
      <c r="B70" t="s">
        <v>182</v>
      </c>
      <c r="C70">
        <v>62</v>
      </c>
      <c r="D70" t="s">
        <v>78</v>
      </c>
      <c r="E70" t="str">
        <f t="shared" si="2"/>
        <v>High Value</v>
      </c>
      <c r="F70" t="s">
        <v>18</v>
      </c>
      <c r="G70" t="s">
        <v>23</v>
      </c>
      <c r="H70" s="2">
        <v>14400</v>
      </c>
      <c r="I70" t="s">
        <v>79</v>
      </c>
    </row>
    <row r="71" spans="1:9">
      <c r="A71" t="s">
        <v>183</v>
      </c>
      <c r="B71" t="s">
        <v>184</v>
      </c>
      <c r="C71">
        <v>61</v>
      </c>
      <c r="D71" t="s">
        <v>57</v>
      </c>
      <c r="E71" t="str">
        <f t="shared" si="2"/>
        <v>Regular</v>
      </c>
      <c r="F71" t="s">
        <v>18</v>
      </c>
      <c r="G71" t="s">
        <v>13</v>
      </c>
      <c r="H71" s="2">
        <v>9400</v>
      </c>
      <c r="I71" t="s">
        <v>58</v>
      </c>
    </row>
    <row r="72" spans="1:9">
      <c r="A72" t="s">
        <v>185</v>
      </c>
      <c r="B72" t="s">
        <v>186</v>
      </c>
      <c r="C72">
        <v>22</v>
      </c>
      <c r="D72" t="s">
        <v>50</v>
      </c>
      <c r="E72" t="str">
        <f t="shared" si="2"/>
        <v>Regular</v>
      </c>
      <c r="F72" t="s">
        <v>12</v>
      </c>
      <c r="G72" t="s">
        <v>19</v>
      </c>
      <c r="H72" s="2">
        <v>5800</v>
      </c>
      <c r="I72" t="s">
        <v>51</v>
      </c>
    </row>
    <row r="73" spans="1:9">
      <c r="A73" t="s">
        <v>187</v>
      </c>
      <c r="B73" t="s">
        <v>188</v>
      </c>
      <c r="C73">
        <v>58</v>
      </c>
      <c r="D73" t="s">
        <v>78</v>
      </c>
      <c r="E73" t="str">
        <f t="shared" si="2"/>
        <v>High Value</v>
      </c>
      <c r="F73" t="s">
        <v>18</v>
      </c>
      <c r="G73" t="s">
        <v>19</v>
      </c>
      <c r="H73" s="2">
        <v>16000</v>
      </c>
      <c r="I73" t="s">
        <v>79</v>
      </c>
    </row>
    <row r="74" spans="1:9">
      <c r="A74" t="s">
        <v>189</v>
      </c>
      <c r="B74" t="s">
        <v>190</v>
      </c>
      <c r="C74">
        <v>54</v>
      </c>
      <c r="D74" t="s">
        <v>41</v>
      </c>
      <c r="E74" t="str">
        <f t="shared" si="2"/>
        <v>Regular</v>
      </c>
      <c r="F74" t="s">
        <v>12</v>
      </c>
      <c r="G74" t="s">
        <v>23</v>
      </c>
      <c r="H74" s="2">
        <v>8300</v>
      </c>
      <c r="I74" t="s">
        <v>42</v>
      </c>
    </row>
    <row r="75" spans="1:9">
      <c r="A75" t="s">
        <v>191</v>
      </c>
      <c r="B75" t="s">
        <v>192</v>
      </c>
      <c r="C75">
        <v>43</v>
      </c>
      <c r="D75" t="s">
        <v>57</v>
      </c>
      <c r="E75" t="str">
        <f t="shared" si="2"/>
        <v>Regular</v>
      </c>
      <c r="F75" t="s">
        <v>12</v>
      </c>
      <c r="G75" t="s">
        <v>13</v>
      </c>
      <c r="H75" s="2">
        <v>6000</v>
      </c>
      <c r="I75" t="s">
        <v>58</v>
      </c>
    </row>
    <row r="76" spans="1:9">
      <c r="A76" t="s">
        <v>193</v>
      </c>
      <c r="B76" t="s">
        <v>194</v>
      </c>
      <c r="C76">
        <v>67</v>
      </c>
      <c r="D76" t="s">
        <v>57</v>
      </c>
      <c r="E76" t="str">
        <f t="shared" si="2"/>
        <v>Regular</v>
      </c>
      <c r="F76" t="s">
        <v>12</v>
      </c>
      <c r="G76" t="s">
        <v>23</v>
      </c>
      <c r="H76" s="2">
        <v>7000</v>
      </c>
      <c r="I76" t="s">
        <v>58</v>
      </c>
    </row>
    <row r="77" spans="1:9">
      <c r="A77" t="s">
        <v>195</v>
      </c>
      <c r="B77" t="s">
        <v>159</v>
      </c>
      <c r="C77">
        <v>21</v>
      </c>
      <c r="D77" t="s">
        <v>41</v>
      </c>
      <c r="E77" t="str">
        <f t="shared" si="2"/>
        <v>Regular</v>
      </c>
      <c r="F77" t="s">
        <v>18</v>
      </c>
      <c r="G77" t="s">
        <v>23</v>
      </c>
      <c r="H77" s="2">
        <v>9300</v>
      </c>
      <c r="I77" t="s">
        <v>42</v>
      </c>
    </row>
    <row r="78" spans="1:9">
      <c r="A78" t="s">
        <v>196</v>
      </c>
      <c r="B78" t="s">
        <v>197</v>
      </c>
      <c r="C78">
        <v>15</v>
      </c>
      <c r="D78" t="s">
        <v>41</v>
      </c>
      <c r="E78" t="str">
        <f t="shared" si="2"/>
        <v>High Value</v>
      </c>
      <c r="F78" t="s">
        <v>18</v>
      </c>
      <c r="G78" t="s">
        <v>19</v>
      </c>
      <c r="H78" s="2">
        <v>12800</v>
      </c>
      <c r="I78" t="s">
        <v>42</v>
      </c>
    </row>
    <row r="79" spans="1:9">
      <c r="A79" t="s">
        <v>198</v>
      </c>
      <c r="B79" t="s">
        <v>199</v>
      </c>
      <c r="C79">
        <v>46</v>
      </c>
      <c r="D79" t="s">
        <v>78</v>
      </c>
      <c r="E79" t="str">
        <f t="shared" si="2"/>
        <v>Regular</v>
      </c>
      <c r="F79" t="s">
        <v>12</v>
      </c>
      <c r="G79" t="s">
        <v>23</v>
      </c>
      <c r="H79" s="2">
        <v>9900</v>
      </c>
      <c r="I79" t="s">
        <v>79</v>
      </c>
    </row>
    <row r="80" spans="1:9">
      <c r="A80" t="s">
        <v>200</v>
      </c>
      <c r="B80" t="s">
        <v>141</v>
      </c>
      <c r="C80">
        <v>40</v>
      </c>
      <c r="D80" t="s">
        <v>37</v>
      </c>
      <c r="E80" t="str">
        <f t="shared" si="2"/>
        <v>Regular</v>
      </c>
      <c r="F80" t="s">
        <v>18</v>
      </c>
      <c r="G80" t="s">
        <v>23</v>
      </c>
      <c r="H80" s="2">
        <v>6600</v>
      </c>
      <c r="I80" t="s">
        <v>38</v>
      </c>
    </row>
    <row r="81" spans="1:9">
      <c r="A81" t="s">
        <v>201</v>
      </c>
      <c r="B81" t="s">
        <v>45</v>
      </c>
      <c r="C81">
        <v>49</v>
      </c>
      <c r="D81" t="s">
        <v>57</v>
      </c>
      <c r="E81" t="str">
        <f t="shared" si="2"/>
        <v>Regular</v>
      </c>
      <c r="F81" t="s">
        <v>12</v>
      </c>
      <c r="G81" t="s">
        <v>19</v>
      </c>
      <c r="H81" s="2">
        <v>4500</v>
      </c>
      <c r="I81" t="s">
        <v>58</v>
      </c>
    </row>
    <row r="82" spans="1:9">
      <c r="A82" t="s">
        <v>202</v>
      </c>
      <c r="B82" t="s">
        <v>203</v>
      </c>
      <c r="C82">
        <v>7</v>
      </c>
      <c r="D82" t="s">
        <v>22</v>
      </c>
      <c r="E82" t="str">
        <f t="shared" si="2"/>
        <v>Regular</v>
      </c>
      <c r="F82" t="s">
        <v>32</v>
      </c>
      <c r="G82" t="s">
        <v>28</v>
      </c>
      <c r="H82" s="2">
        <v>8000</v>
      </c>
      <c r="I82" t="s">
        <v>24</v>
      </c>
    </row>
    <row r="83" spans="1:9">
      <c r="A83" t="s">
        <v>204</v>
      </c>
      <c r="B83" t="s">
        <v>199</v>
      </c>
      <c r="C83">
        <v>77</v>
      </c>
      <c r="D83" t="s">
        <v>78</v>
      </c>
      <c r="E83" t="str">
        <f t="shared" si="2"/>
        <v>Regular</v>
      </c>
      <c r="F83" t="s">
        <v>12</v>
      </c>
      <c r="G83" t="s">
        <v>19</v>
      </c>
      <c r="H83" s="2">
        <v>9300</v>
      </c>
      <c r="I83" t="s">
        <v>79</v>
      </c>
    </row>
    <row r="84" spans="1:9">
      <c r="A84" t="s">
        <v>205</v>
      </c>
      <c r="B84" t="s">
        <v>206</v>
      </c>
      <c r="C84">
        <v>25</v>
      </c>
      <c r="D84" t="s">
        <v>37</v>
      </c>
      <c r="E84" t="str">
        <f t="shared" si="2"/>
        <v>Regular</v>
      </c>
      <c r="F84" t="s">
        <v>12</v>
      </c>
      <c r="G84" t="s">
        <v>19</v>
      </c>
      <c r="H84" s="2">
        <v>3400</v>
      </c>
      <c r="I84" t="s">
        <v>38</v>
      </c>
    </row>
    <row r="85" spans="1:9">
      <c r="A85" t="s">
        <v>207</v>
      </c>
      <c r="B85" t="s">
        <v>101</v>
      </c>
      <c r="C85">
        <v>55</v>
      </c>
      <c r="D85" t="s">
        <v>50</v>
      </c>
      <c r="E85" t="str">
        <f t="shared" si="2"/>
        <v>Regular</v>
      </c>
      <c r="F85" t="s">
        <v>18</v>
      </c>
      <c r="G85" t="s">
        <v>23</v>
      </c>
      <c r="H85" s="2">
        <v>7200</v>
      </c>
      <c r="I85" t="s">
        <v>51</v>
      </c>
    </row>
    <row r="86" spans="1:9">
      <c r="A86" t="s">
        <v>208</v>
      </c>
      <c r="B86" t="s">
        <v>190</v>
      </c>
      <c r="C86">
        <v>20</v>
      </c>
      <c r="D86" t="s">
        <v>11</v>
      </c>
      <c r="E86" t="str">
        <f t="shared" si="2"/>
        <v>High Value</v>
      </c>
      <c r="F86" t="s">
        <v>18</v>
      </c>
      <c r="G86" t="s">
        <v>13</v>
      </c>
      <c r="H86" s="2">
        <v>18100</v>
      </c>
      <c r="I86" t="s">
        <v>14</v>
      </c>
    </row>
    <row r="87" spans="1:9">
      <c r="A87" t="s">
        <v>209</v>
      </c>
      <c r="B87" t="s">
        <v>94</v>
      </c>
      <c r="C87">
        <v>69</v>
      </c>
      <c r="D87" t="s">
        <v>41</v>
      </c>
      <c r="E87" t="str">
        <f t="shared" si="2"/>
        <v>High Value</v>
      </c>
      <c r="F87" t="s">
        <v>18</v>
      </c>
      <c r="G87" t="s">
        <v>19</v>
      </c>
      <c r="H87" s="2">
        <v>12500</v>
      </c>
      <c r="I87" t="s">
        <v>42</v>
      </c>
    </row>
    <row r="88" spans="1:9">
      <c r="A88" t="s">
        <v>210</v>
      </c>
      <c r="B88" t="s">
        <v>211</v>
      </c>
      <c r="C88">
        <v>63</v>
      </c>
      <c r="D88" t="s">
        <v>57</v>
      </c>
      <c r="E88" t="str">
        <f t="shared" si="2"/>
        <v>Regular</v>
      </c>
      <c r="F88" t="s">
        <v>12</v>
      </c>
      <c r="G88" t="s">
        <v>13</v>
      </c>
      <c r="H88" s="2">
        <v>5600</v>
      </c>
      <c r="I88" t="s">
        <v>58</v>
      </c>
    </row>
    <row r="89" spans="1:9">
      <c r="A89" t="s">
        <v>212</v>
      </c>
      <c r="B89" t="s">
        <v>124</v>
      </c>
      <c r="C89">
        <v>64</v>
      </c>
      <c r="D89" t="s">
        <v>50</v>
      </c>
      <c r="E89" t="str">
        <f t="shared" si="2"/>
        <v>Regular</v>
      </c>
      <c r="F89" t="s">
        <v>18</v>
      </c>
      <c r="G89" t="s">
        <v>23</v>
      </c>
      <c r="H89" s="2">
        <v>7400</v>
      </c>
      <c r="I89" t="s">
        <v>51</v>
      </c>
    </row>
    <row r="90" spans="1:9">
      <c r="A90" t="s">
        <v>213</v>
      </c>
      <c r="B90" t="s">
        <v>214</v>
      </c>
      <c r="C90">
        <v>40</v>
      </c>
      <c r="D90" t="s">
        <v>37</v>
      </c>
      <c r="E90" t="str">
        <f t="shared" si="2"/>
        <v>Regular</v>
      </c>
      <c r="F90" t="s">
        <v>32</v>
      </c>
      <c r="G90" t="s">
        <v>19</v>
      </c>
      <c r="H90" s="2">
        <v>5300</v>
      </c>
      <c r="I90" t="s">
        <v>38</v>
      </c>
    </row>
    <row r="91" spans="1:9">
      <c r="A91" t="s">
        <v>215</v>
      </c>
      <c r="B91" t="s">
        <v>143</v>
      </c>
      <c r="C91">
        <v>46</v>
      </c>
      <c r="D91" t="s">
        <v>41</v>
      </c>
      <c r="E91" t="str">
        <f t="shared" si="2"/>
        <v>Regular</v>
      </c>
      <c r="F91" t="s">
        <v>12</v>
      </c>
      <c r="G91" t="s">
        <v>23</v>
      </c>
      <c r="H91" s="2">
        <v>6900</v>
      </c>
      <c r="I91" t="s">
        <v>42</v>
      </c>
    </row>
    <row r="92" spans="1:9">
      <c r="A92" t="s">
        <v>216</v>
      </c>
      <c r="B92" t="s">
        <v>217</v>
      </c>
      <c r="C92">
        <v>40</v>
      </c>
      <c r="D92" t="s">
        <v>37</v>
      </c>
      <c r="E92" t="str">
        <f t="shared" si="2"/>
        <v>Regular</v>
      </c>
      <c r="F92" t="s">
        <v>18</v>
      </c>
      <c r="G92" t="s">
        <v>13</v>
      </c>
      <c r="H92" s="2">
        <v>6000</v>
      </c>
      <c r="I92" t="s">
        <v>38</v>
      </c>
    </row>
    <row r="93" spans="1:9">
      <c r="A93" t="s">
        <v>218</v>
      </c>
      <c r="B93" t="s">
        <v>54</v>
      </c>
      <c r="C93">
        <v>67</v>
      </c>
      <c r="D93" t="s">
        <v>31</v>
      </c>
      <c r="E93" t="str">
        <f t="shared" si="2"/>
        <v>Regular</v>
      </c>
      <c r="F93" t="s">
        <v>12</v>
      </c>
      <c r="G93" t="s">
        <v>23</v>
      </c>
      <c r="H93" s="2">
        <v>7600</v>
      </c>
      <c r="I93" t="s">
        <v>33</v>
      </c>
    </row>
    <row r="94" spans="1:9">
      <c r="A94" t="s">
        <v>219</v>
      </c>
      <c r="B94" t="s">
        <v>84</v>
      </c>
      <c r="C94">
        <v>16</v>
      </c>
      <c r="D94" t="s">
        <v>57</v>
      </c>
      <c r="E94" t="str">
        <f t="shared" si="2"/>
        <v>Regular</v>
      </c>
      <c r="F94" t="s">
        <v>12</v>
      </c>
      <c r="G94" t="s">
        <v>19</v>
      </c>
      <c r="H94" s="2">
        <v>7500</v>
      </c>
      <c r="I94" t="s">
        <v>58</v>
      </c>
    </row>
    <row r="95" spans="1:9">
      <c r="A95" t="s">
        <v>220</v>
      </c>
      <c r="B95" t="s">
        <v>221</v>
      </c>
      <c r="C95">
        <v>65</v>
      </c>
      <c r="D95" t="s">
        <v>31</v>
      </c>
      <c r="E95" t="str">
        <f t="shared" si="2"/>
        <v>Regular</v>
      </c>
      <c r="F95" t="s">
        <v>12</v>
      </c>
      <c r="G95" t="s">
        <v>13</v>
      </c>
      <c r="H95" s="2">
        <v>6500</v>
      </c>
      <c r="I95" t="s">
        <v>33</v>
      </c>
    </row>
    <row r="96" spans="1:9">
      <c r="A96" t="s">
        <v>222</v>
      </c>
      <c r="B96" t="s">
        <v>223</v>
      </c>
      <c r="C96">
        <v>50</v>
      </c>
      <c r="D96" t="s">
        <v>41</v>
      </c>
      <c r="E96" t="str">
        <f t="shared" si="2"/>
        <v>Regular</v>
      </c>
      <c r="F96" t="s">
        <v>32</v>
      </c>
      <c r="G96" t="s">
        <v>13</v>
      </c>
      <c r="H96" s="2">
        <v>5300</v>
      </c>
      <c r="I96" t="s">
        <v>42</v>
      </c>
    </row>
    <row r="97" spans="1:9">
      <c r="A97" t="s">
        <v>224</v>
      </c>
      <c r="B97" t="s">
        <v>225</v>
      </c>
      <c r="C97">
        <v>45</v>
      </c>
      <c r="D97" t="s">
        <v>50</v>
      </c>
      <c r="E97" t="str">
        <f t="shared" si="2"/>
        <v>Regular</v>
      </c>
      <c r="F97" t="s">
        <v>12</v>
      </c>
      <c r="G97" t="s">
        <v>28</v>
      </c>
      <c r="H97" s="2">
        <v>4200</v>
      </c>
      <c r="I97" t="s">
        <v>51</v>
      </c>
    </row>
    <row r="98" spans="1:9">
      <c r="A98" t="s">
        <v>226</v>
      </c>
      <c r="B98" t="s">
        <v>117</v>
      </c>
      <c r="C98">
        <v>40</v>
      </c>
      <c r="D98" t="s">
        <v>31</v>
      </c>
      <c r="E98" t="str">
        <f t="shared" si="2"/>
        <v>Regular</v>
      </c>
      <c r="F98" t="s">
        <v>12</v>
      </c>
      <c r="G98" t="s">
        <v>23</v>
      </c>
      <c r="H98" s="2">
        <v>6000</v>
      </c>
      <c r="I98" t="s">
        <v>33</v>
      </c>
    </row>
    <row r="99" spans="1:9">
      <c r="A99" t="s">
        <v>227</v>
      </c>
      <c r="B99" t="s">
        <v>81</v>
      </c>
      <c r="C99">
        <v>34</v>
      </c>
      <c r="D99" t="s">
        <v>11</v>
      </c>
      <c r="E99" t="str">
        <f t="shared" si="2"/>
        <v>Regular</v>
      </c>
      <c r="F99" t="s">
        <v>32</v>
      </c>
      <c r="G99" t="s">
        <v>13</v>
      </c>
      <c r="H99" s="2">
        <v>7800</v>
      </c>
      <c r="I99" t="s">
        <v>14</v>
      </c>
    </row>
    <row r="100" spans="1:9">
      <c r="A100" t="s">
        <v>228</v>
      </c>
      <c r="B100" t="s">
        <v>229</v>
      </c>
      <c r="C100">
        <v>40</v>
      </c>
      <c r="D100" t="s">
        <v>22</v>
      </c>
      <c r="E100" t="str">
        <f>IF(H100&gt;10000,"High Value","Regular")</f>
        <v>High Value</v>
      </c>
      <c r="F100" t="s">
        <v>18</v>
      </c>
      <c r="G100" t="s">
        <v>28</v>
      </c>
      <c r="H100" s="2">
        <v>19200</v>
      </c>
      <c r="I100" t="s">
        <v>24</v>
      </c>
    </row>
    <row r="101" spans="1:9">
      <c r="A101" t="s">
        <v>230</v>
      </c>
      <c r="B101" t="s">
        <v>231</v>
      </c>
      <c r="C101">
        <v>18</v>
      </c>
      <c r="D101" t="s">
        <v>78</v>
      </c>
      <c r="E101" t="str">
        <f>IF(H101&gt;10000,"High Value","Regular")</f>
        <v>High Value</v>
      </c>
      <c r="F101" t="s">
        <v>18</v>
      </c>
      <c r="G101" t="s">
        <v>23</v>
      </c>
      <c r="H101" s="2">
        <v>14500</v>
      </c>
      <c r="I101" t="s">
        <v>79</v>
      </c>
    </row>
  </sheetData>
  <autoFilter xmlns:etc="http://www.wps.cn/officeDocument/2017/etCustomData" ref="A1:I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pane ySplit="1" topLeftCell="A4" activePane="bottomLeft" state="frozen"/>
      <selection/>
      <selection pane="bottomLeft" activeCell="A2" sqref="A2:E21"/>
    </sheetView>
  </sheetViews>
  <sheetFormatPr defaultColWidth="9" defaultRowHeight="14.5"/>
  <cols>
    <col min="1" max="1" width="35" customWidth="1"/>
  </cols>
  <sheetData>
    <row r="1" spans="1:1">
      <c r="A1" s="1" t="s">
        <v>232</v>
      </c>
    </row>
    <row r="2" spans="1:1">
      <c r="A2" t="s">
        <v>233</v>
      </c>
    </row>
    <row r="3" spans="1:1">
      <c r="A3" t="s">
        <v>25</v>
      </c>
    </row>
    <row r="4" spans="1:1">
      <c r="A4" t="s">
        <v>234</v>
      </c>
    </row>
    <row r="5" spans="1:1">
      <c r="A5" t="s">
        <v>235</v>
      </c>
    </row>
    <row r="6" spans="1:1">
      <c r="A6" t="s">
        <v>236</v>
      </c>
    </row>
    <row r="7" spans="1:1">
      <c r="A7" t="s">
        <v>237</v>
      </c>
    </row>
    <row r="8" spans="1:1">
      <c r="A8" t="s">
        <v>65</v>
      </c>
    </row>
    <row r="9" spans="1:1">
      <c r="A9" t="s">
        <v>238</v>
      </c>
    </row>
    <row r="10" spans="1:1">
      <c r="A10" t="s">
        <v>75</v>
      </c>
    </row>
    <row r="11" spans="1:1">
      <c r="A11" t="s">
        <v>239</v>
      </c>
    </row>
    <row r="12" spans="1:1">
      <c r="A12" t="s">
        <v>87</v>
      </c>
    </row>
    <row r="13" spans="1:1">
      <c r="A13" t="s">
        <v>92</v>
      </c>
    </row>
    <row r="14" spans="1:1">
      <c r="A14" t="s">
        <v>97</v>
      </c>
    </row>
    <row r="15" spans="1:1">
      <c r="A15" t="s">
        <v>102</v>
      </c>
    </row>
    <row r="16" spans="1:1">
      <c r="A16" t="s">
        <v>107</v>
      </c>
    </row>
    <row r="17" spans="1:1">
      <c r="A17" t="s">
        <v>110</v>
      </c>
    </row>
    <row r="18" spans="1:1">
      <c r="A18" t="s">
        <v>240</v>
      </c>
    </row>
    <row r="19" spans="1:1">
      <c r="A19" t="s">
        <v>120</v>
      </c>
    </row>
    <row r="20" spans="1:1">
      <c r="A20" t="s">
        <v>125</v>
      </c>
    </row>
    <row r="21" spans="1:1">
      <c r="A21" t="s">
        <v>130</v>
      </c>
    </row>
  </sheetData>
  <autoFilter xmlns:etc="http://www.wps.cn/officeDocument/2017/etCustomData" ref="A1:A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Healthcare_Data</vt:lpstr>
      <vt:lpstr>Practice_Questions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2026-09-08T22:43:00Z</dcterms:created>
  <dcterms:modified xsi:type="dcterms:W3CDTF">2026-09-13T23:34:06Z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42CC1D95FE884802B2194813FC343D9D_13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