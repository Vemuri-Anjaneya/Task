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NTRI NOTES DATA ANALYTICS\Activities Data Set\Practice\"/>
    </mc:Choice>
  </mc:AlternateContent>
  <xr:revisionPtr revIDLastSave="0" documentId="13_ncr:1_{BE3F9D90-D18E-408D-BE1C-53FA7D1547D7}" xr6:coauthVersionLast="47" xr6:coauthVersionMax="47" xr10:uidLastSave="{00000000-0000-0000-0000-000000000000}"/>
  <bookViews>
    <workbookView xWindow="-110" yWindow="-110" windowWidth="19420" windowHeight="10300" xr2:uid="{E2D2E9C8-788E-4EF6-8EF3-CD0E136ABB1D}"/>
  </bookViews>
  <sheets>
    <sheet name="student_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L10" i="1"/>
  <c r="J10" i="1"/>
  <c r="N2" i="1"/>
  <c r="L2" i="1"/>
  <c r="J2" i="1"/>
  <c r="H10" i="1"/>
  <c r="H12" i="1" s="1"/>
  <c r="H2" i="1"/>
</calcChain>
</file>

<file path=xl/sharedStrings.xml><?xml version="1.0" encoding="utf-8"?>
<sst xmlns="http://schemas.openxmlformats.org/spreadsheetml/2006/main" count="75" uniqueCount="73">
  <si>
    <t>Student_ID</t>
  </si>
  <si>
    <t>Student_Name</t>
  </si>
  <si>
    <t>Maths</t>
  </si>
  <si>
    <t>Science</t>
  </si>
  <si>
    <t>English</t>
  </si>
  <si>
    <t>Attendance_Percent</t>
  </si>
  <si>
    <t>Ananya</t>
  </si>
  <si>
    <t>Rahul</t>
  </si>
  <si>
    <t>Sneha</t>
  </si>
  <si>
    <t>Arjun</t>
  </si>
  <si>
    <t>Priya</t>
  </si>
  <si>
    <t>Kiran</t>
  </si>
  <si>
    <t>Meena</t>
  </si>
  <si>
    <t>Vikram</t>
  </si>
  <si>
    <t>Divya</t>
  </si>
  <si>
    <t>Rohan</t>
  </si>
  <si>
    <t>Pooja</t>
  </si>
  <si>
    <t>Suresh</t>
  </si>
  <si>
    <t>Kavya</t>
  </si>
  <si>
    <t>Manoj</t>
  </si>
  <si>
    <t>Neha</t>
  </si>
  <si>
    <t>Amit</t>
  </si>
  <si>
    <t>Swathi</t>
  </si>
  <si>
    <t>Naveen</t>
  </si>
  <si>
    <t>Lakshmi</t>
  </si>
  <si>
    <t>Varun</t>
  </si>
  <si>
    <t>Asha</t>
  </si>
  <si>
    <t>Deepak</t>
  </si>
  <si>
    <t>Harini</t>
  </si>
  <si>
    <t>Sanjay</t>
  </si>
  <si>
    <t>Riya</t>
  </si>
  <si>
    <t>Karthik</t>
  </si>
  <si>
    <t>Nandini</t>
  </si>
  <si>
    <t>Abhishek</t>
  </si>
  <si>
    <t>Ishita</t>
  </si>
  <si>
    <t>Ajay</t>
  </si>
  <si>
    <t>Bhavana</t>
  </si>
  <si>
    <t>Tarun</t>
  </si>
  <si>
    <t>Keerthi</t>
  </si>
  <si>
    <t>Rakesh</t>
  </si>
  <si>
    <t>Sahana</t>
  </si>
  <si>
    <t>Vijay</t>
  </si>
  <si>
    <t>Madhuri</t>
  </si>
  <si>
    <t>Ravi</t>
  </si>
  <si>
    <t>Pallavi</t>
  </si>
  <si>
    <t>Suraj</t>
  </si>
  <si>
    <t>Anjali</t>
  </si>
  <si>
    <t>Ganesh</t>
  </si>
  <si>
    <t>Shreya</t>
  </si>
  <si>
    <t>Mahesh</t>
  </si>
  <si>
    <t>Chaitra</t>
  </si>
  <si>
    <t>Dinesh</t>
  </si>
  <si>
    <t>Apoorva</t>
  </si>
  <si>
    <t>Ramesh</t>
  </si>
  <si>
    <t>Nisha</t>
  </si>
  <si>
    <t>Siddharth</t>
  </si>
  <si>
    <t>Mean Maths</t>
  </si>
  <si>
    <t>Mode Maths</t>
  </si>
  <si>
    <t>Median Maths</t>
  </si>
  <si>
    <t>Range Maths</t>
  </si>
  <si>
    <t>STDeviation Math</t>
  </si>
  <si>
    <t>Mean All Sub</t>
  </si>
  <si>
    <t>Highest Avg Sub</t>
  </si>
  <si>
    <t>Median All Sub</t>
  </si>
  <si>
    <t>Range All Sub</t>
  </si>
  <si>
    <t>STDeviation All Sub</t>
  </si>
  <si>
    <t>Highest Mean Sub</t>
  </si>
  <si>
    <t>88 &amp; 95</t>
  </si>
  <si>
    <t>Mean Eng</t>
  </si>
  <si>
    <t>PVariance Maths</t>
  </si>
  <si>
    <t>PVariance All Sub</t>
  </si>
  <si>
    <t>Svariance</t>
  </si>
  <si>
    <t>Mean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</si>
</sst>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sz val="18"/>
      <color theme="3"/>
      <name val="Gill Sans MT"/>
      <family val="2"/>
      <scheme val="major"/>
    </font>
    <font>
      <b/>
      <sz val="15"/>
      <color theme="3"/>
      <name val="Gill Sans MT"/>
      <family val="2"/>
      <scheme val="minor"/>
    </font>
    <font>
      <b/>
      <sz val="13"/>
      <color theme="3"/>
      <name val="Gill Sans MT"/>
      <family val="2"/>
      <scheme val="minor"/>
    </font>
    <font>
      <b/>
      <sz val="11"/>
      <color theme="3"/>
      <name val="Gill Sans MT"/>
      <family val="2"/>
      <scheme val="minor"/>
    </font>
    <font>
      <sz val="11"/>
      <color rgb="FF006100"/>
      <name val="Gill Sans MT"/>
      <family val="2"/>
      <scheme val="minor"/>
    </font>
    <font>
      <sz val="11"/>
      <color rgb="FF9C0006"/>
      <name val="Gill Sans MT"/>
      <family val="2"/>
      <scheme val="minor"/>
    </font>
    <font>
      <sz val="11"/>
      <color rgb="FF9C5700"/>
      <name val="Gill Sans MT"/>
      <family val="2"/>
      <scheme val="minor"/>
    </font>
    <font>
      <sz val="11"/>
      <color rgb="FF3F3F76"/>
      <name val="Gill Sans MT"/>
      <family val="2"/>
      <scheme val="minor"/>
    </font>
    <font>
      <b/>
      <sz val="11"/>
      <color rgb="FF3F3F3F"/>
      <name val="Gill Sans MT"/>
      <family val="2"/>
      <scheme val="minor"/>
    </font>
    <font>
      <b/>
      <sz val="11"/>
      <color rgb="FFFA7D00"/>
      <name val="Gill Sans MT"/>
      <family val="2"/>
      <scheme val="minor"/>
    </font>
    <font>
      <sz val="11"/>
      <color rgb="FFFA7D00"/>
      <name val="Gill Sans MT"/>
      <family val="2"/>
      <scheme val="minor"/>
    </font>
    <font>
      <b/>
      <sz val="11"/>
      <color theme="0"/>
      <name val="Gill Sans MT"/>
      <family val="2"/>
      <scheme val="minor"/>
    </font>
    <font>
      <sz val="11"/>
      <color rgb="FFFF0000"/>
      <name val="Gill Sans MT"/>
      <family val="2"/>
      <scheme val="minor"/>
    </font>
    <font>
      <i/>
      <sz val="11"/>
      <color rgb="FF7F7F7F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sz val="11"/>
      <color theme="0"/>
      <name val="Gill Sans MT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0182-F849-4133-93AF-F6FDCB716504}">
  <dimension ref="A1:N51"/>
  <sheetViews>
    <sheetView tabSelected="1" workbookViewId="0">
      <selection activeCell="M5" sqref="M5"/>
    </sheetView>
  </sheetViews>
  <sheetFormatPr defaultRowHeight="16.5" x14ac:dyDescent="0.5"/>
  <sheetData>
    <row r="1" spans="1:1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56</v>
      </c>
      <c r="J1" t="s">
        <v>61</v>
      </c>
      <c r="L1" t="s">
        <v>72</v>
      </c>
      <c r="N1" t="s">
        <v>68</v>
      </c>
    </row>
    <row r="2" spans="1:14" x14ac:dyDescent="0.5">
      <c r="A2">
        <v>30</v>
      </c>
      <c r="B2" t="s">
        <v>35</v>
      </c>
      <c r="C2">
        <v>55</v>
      </c>
      <c r="D2">
        <v>58</v>
      </c>
      <c r="E2">
        <v>60</v>
      </c>
      <c r="F2">
        <v>57</v>
      </c>
      <c r="H2">
        <f>AVERAGE(C2:C51)</f>
        <v>77.819999999999993</v>
      </c>
      <c r="J2">
        <f>AVERAGE(C1:E51)</f>
        <v>78.053333333333327</v>
      </c>
      <c r="L2">
        <f>AVERAGE(D:D)</f>
        <v>79.06</v>
      </c>
      <c r="N2">
        <f>AVERAGE(E:E)</f>
        <v>77.28</v>
      </c>
    </row>
    <row r="3" spans="1:14" x14ac:dyDescent="0.5">
      <c r="A3">
        <v>12</v>
      </c>
      <c r="B3" t="s">
        <v>17</v>
      </c>
      <c r="C3">
        <v>55</v>
      </c>
      <c r="D3">
        <v>60</v>
      </c>
      <c r="E3">
        <v>58</v>
      </c>
      <c r="F3">
        <v>57</v>
      </c>
      <c r="H3" t="s">
        <v>58</v>
      </c>
      <c r="J3" t="s">
        <v>63</v>
      </c>
    </row>
    <row r="4" spans="1:14" x14ac:dyDescent="0.5">
      <c r="A4">
        <v>22</v>
      </c>
      <c r="B4" t="s">
        <v>27</v>
      </c>
      <c r="C4">
        <v>60</v>
      </c>
      <c r="D4">
        <v>62</v>
      </c>
      <c r="E4">
        <v>59</v>
      </c>
      <c r="F4">
        <v>61</v>
      </c>
      <c r="H4">
        <v>78</v>
      </c>
    </row>
    <row r="5" spans="1:14" x14ac:dyDescent="0.5">
      <c r="A5">
        <v>46</v>
      </c>
      <c r="B5" t="s">
        <v>51</v>
      </c>
      <c r="C5">
        <v>60</v>
      </c>
      <c r="D5">
        <v>63</v>
      </c>
      <c r="E5">
        <v>58</v>
      </c>
      <c r="F5">
        <v>61</v>
      </c>
      <c r="H5" t="s">
        <v>57</v>
      </c>
      <c r="J5" t="s">
        <v>64</v>
      </c>
    </row>
    <row r="6" spans="1:14" x14ac:dyDescent="0.5">
      <c r="A6">
        <v>6</v>
      </c>
      <c r="B6" t="s">
        <v>11</v>
      </c>
      <c r="C6">
        <v>60</v>
      </c>
      <c r="D6">
        <v>64</v>
      </c>
      <c r="E6">
        <v>62</v>
      </c>
      <c r="F6">
        <v>65</v>
      </c>
      <c r="H6" t="s">
        <v>67</v>
      </c>
      <c r="J6">
        <v>150</v>
      </c>
    </row>
    <row r="7" spans="1:14" x14ac:dyDescent="0.5">
      <c r="A7">
        <v>34</v>
      </c>
      <c r="B7" t="s">
        <v>39</v>
      </c>
      <c r="C7">
        <v>62</v>
      </c>
      <c r="D7">
        <v>65</v>
      </c>
      <c r="E7">
        <v>60</v>
      </c>
      <c r="F7">
        <v>63</v>
      </c>
      <c r="H7" t="s">
        <v>59</v>
      </c>
      <c r="J7" t="s">
        <v>66</v>
      </c>
    </row>
    <row r="8" spans="1:14" x14ac:dyDescent="0.5">
      <c r="A8">
        <v>26</v>
      </c>
      <c r="B8" t="s">
        <v>31</v>
      </c>
      <c r="C8">
        <v>64</v>
      </c>
      <c r="D8">
        <v>66</v>
      </c>
      <c r="E8">
        <v>62</v>
      </c>
      <c r="F8">
        <v>69</v>
      </c>
      <c r="H8">
        <v>50</v>
      </c>
      <c r="J8" t="s">
        <v>3</v>
      </c>
    </row>
    <row r="9" spans="1:14" x14ac:dyDescent="0.5">
      <c r="A9">
        <v>42</v>
      </c>
      <c r="B9" t="s">
        <v>47</v>
      </c>
      <c r="C9">
        <v>65</v>
      </c>
      <c r="D9">
        <v>67</v>
      </c>
      <c r="E9">
        <v>64</v>
      </c>
      <c r="F9">
        <v>65</v>
      </c>
      <c r="H9" t="s">
        <v>69</v>
      </c>
      <c r="J9" t="s">
        <v>70</v>
      </c>
      <c r="L9" t="s">
        <v>71</v>
      </c>
    </row>
    <row r="10" spans="1:14" x14ac:dyDescent="0.5">
      <c r="A10">
        <v>16</v>
      </c>
      <c r="B10" t="s">
        <v>21</v>
      </c>
      <c r="C10">
        <v>65</v>
      </c>
      <c r="D10">
        <v>70</v>
      </c>
      <c r="E10">
        <v>68</v>
      </c>
      <c r="F10">
        <v>66</v>
      </c>
      <c r="H10">
        <f>_xlfn.VAR.P(C:C)</f>
        <v>125.9876</v>
      </c>
      <c r="J10">
        <f>_xlfn.VAR.P(C2:E51)</f>
        <v>119.01048888888889</v>
      </c>
      <c r="L10">
        <f>_xlfn.VAR.S(C2:C15)</f>
        <v>25.648351648351657</v>
      </c>
    </row>
    <row r="11" spans="1:14" x14ac:dyDescent="0.5">
      <c r="A11">
        <v>14</v>
      </c>
      <c r="B11" t="s">
        <v>19</v>
      </c>
      <c r="C11">
        <v>68</v>
      </c>
      <c r="D11">
        <v>65</v>
      </c>
      <c r="E11">
        <v>70</v>
      </c>
      <c r="F11">
        <v>71</v>
      </c>
      <c r="H11" t="s">
        <v>60</v>
      </c>
      <c r="J11" t="s">
        <v>65</v>
      </c>
    </row>
    <row r="12" spans="1:14" x14ac:dyDescent="0.5">
      <c r="A12">
        <v>2</v>
      </c>
      <c r="B12" t="s">
        <v>7</v>
      </c>
      <c r="C12">
        <v>68</v>
      </c>
      <c r="D12">
        <v>70</v>
      </c>
      <c r="E12">
        <v>66</v>
      </c>
      <c r="F12">
        <v>72</v>
      </c>
      <c r="H12">
        <f>SQRT(H10)</f>
        <v>11.224419806831888</v>
      </c>
      <c r="J12">
        <f>SQRT(J10)</f>
        <v>10.909192861476457</v>
      </c>
    </row>
    <row r="13" spans="1:14" x14ac:dyDescent="0.5">
      <c r="A13">
        <v>38</v>
      </c>
      <c r="B13" t="s">
        <v>43</v>
      </c>
      <c r="C13">
        <v>68</v>
      </c>
      <c r="D13">
        <v>72</v>
      </c>
      <c r="E13">
        <v>65</v>
      </c>
      <c r="F13">
        <v>69</v>
      </c>
      <c r="J13" t="s">
        <v>62</v>
      </c>
    </row>
    <row r="14" spans="1:14" x14ac:dyDescent="0.5">
      <c r="A14">
        <v>20</v>
      </c>
      <c r="B14" t="s">
        <v>25</v>
      </c>
      <c r="C14">
        <v>70</v>
      </c>
      <c r="D14">
        <v>68</v>
      </c>
      <c r="E14">
        <v>74</v>
      </c>
      <c r="F14">
        <v>73</v>
      </c>
      <c r="J14" t="s">
        <v>3</v>
      </c>
    </row>
    <row r="15" spans="1:14" x14ac:dyDescent="0.5">
      <c r="A15">
        <v>10</v>
      </c>
      <c r="B15" t="s">
        <v>15</v>
      </c>
      <c r="C15">
        <v>70</v>
      </c>
      <c r="D15">
        <v>72</v>
      </c>
      <c r="E15">
        <v>68</v>
      </c>
      <c r="F15">
        <v>70</v>
      </c>
    </row>
    <row r="16" spans="1:14" x14ac:dyDescent="0.5">
      <c r="A16">
        <v>48</v>
      </c>
      <c r="B16" t="s">
        <v>53</v>
      </c>
      <c r="C16">
        <v>70</v>
      </c>
      <c r="D16">
        <v>73</v>
      </c>
      <c r="E16">
        <v>68</v>
      </c>
      <c r="F16">
        <v>71</v>
      </c>
    </row>
    <row r="17" spans="1:6" x14ac:dyDescent="0.5">
      <c r="A17">
        <v>32</v>
      </c>
      <c r="B17" t="s">
        <v>37</v>
      </c>
      <c r="C17">
        <v>72</v>
      </c>
      <c r="D17">
        <v>70</v>
      </c>
      <c r="E17">
        <v>75</v>
      </c>
      <c r="F17">
        <v>71</v>
      </c>
    </row>
    <row r="18" spans="1:6" x14ac:dyDescent="0.5">
      <c r="A18">
        <v>18</v>
      </c>
      <c r="B18" t="s">
        <v>23</v>
      </c>
      <c r="C18">
        <v>72</v>
      </c>
      <c r="D18">
        <v>75</v>
      </c>
      <c r="E18">
        <v>70</v>
      </c>
      <c r="F18">
        <v>77</v>
      </c>
    </row>
    <row r="19" spans="1:6" x14ac:dyDescent="0.5">
      <c r="A19">
        <v>4</v>
      </c>
      <c r="B19" t="s">
        <v>9</v>
      </c>
      <c r="C19">
        <v>72</v>
      </c>
      <c r="D19">
        <v>75</v>
      </c>
      <c r="E19">
        <v>70</v>
      </c>
      <c r="F19">
        <v>74</v>
      </c>
    </row>
    <row r="20" spans="1:6" x14ac:dyDescent="0.5">
      <c r="A20">
        <v>40</v>
      </c>
      <c r="B20" t="s">
        <v>45</v>
      </c>
      <c r="C20">
        <v>74</v>
      </c>
      <c r="D20">
        <v>76</v>
      </c>
      <c r="E20">
        <v>72</v>
      </c>
      <c r="F20">
        <v>73</v>
      </c>
    </row>
    <row r="21" spans="1:6" x14ac:dyDescent="0.5">
      <c r="A21">
        <v>28</v>
      </c>
      <c r="B21" t="s">
        <v>33</v>
      </c>
      <c r="C21">
        <v>75</v>
      </c>
      <c r="D21">
        <v>77</v>
      </c>
      <c r="E21">
        <v>73</v>
      </c>
      <c r="F21">
        <v>75</v>
      </c>
    </row>
    <row r="22" spans="1:6" x14ac:dyDescent="0.5">
      <c r="A22">
        <v>44</v>
      </c>
      <c r="B22" t="s">
        <v>49</v>
      </c>
      <c r="C22">
        <v>75</v>
      </c>
      <c r="D22">
        <v>78</v>
      </c>
      <c r="E22">
        <v>72</v>
      </c>
      <c r="F22">
        <v>76</v>
      </c>
    </row>
    <row r="23" spans="1:6" x14ac:dyDescent="0.5">
      <c r="A23">
        <v>8</v>
      </c>
      <c r="B23" t="s">
        <v>13</v>
      </c>
      <c r="C23">
        <v>76</v>
      </c>
      <c r="D23">
        <v>74</v>
      </c>
      <c r="E23">
        <v>79</v>
      </c>
      <c r="F23">
        <v>76</v>
      </c>
    </row>
    <row r="24" spans="1:6" x14ac:dyDescent="0.5">
      <c r="A24">
        <v>36</v>
      </c>
      <c r="B24" t="s">
        <v>41</v>
      </c>
      <c r="C24">
        <v>76</v>
      </c>
      <c r="D24">
        <v>78</v>
      </c>
      <c r="E24">
        <v>74</v>
      </c>
      <c r="F24">
        <v>77</v>
      </c>
    </row>
    <row r="25" spans="1:6" x14ac:dyDescent="0.5">
      <c r="A25">
        <v>29</v>
      </c>
      <c r="B25" t="s">
        <v>34</v>
      </c>
      <c r="C25">
        <v>78</v>
      </c>
      <c r="D25">
        <v>80</v>
      </c>
      <c r="E25">
        <v>76</v>
      </c>
      <c r="F25">
        <v>81</v>
      </c>
    </row>
    <row r="26" spans="1:6" x14ac:dyDescent="0.5">
      <c r="A26">
        <v>24</v>
      </c>
      <c r="B26" t="s">
        <v>29</v>
      </c>
      <c r="C26">
        <v>78</v>
      </c>
      <c r="D26">
        <v>80</v>
      </c>
      <c r="E26">
        <v>76</v>
      </c>
      <c r="F26">
        <v>79</v>
      </c>
    </row>
    <row r="27" spans="1:6" x14ac:dyDescent="0.5">
      <c r="A27">
        <v>41</v>
      </c>
      <c r="B27" t="s">
        <v>46</v>
      </c>
      <c r="C27">
        <v>78</v>
      </c>
      <c r="D27">
        <v>82</v>
      </c>
      <c r="E27">
        <v>75</v>
      </c>
      <c r="F27">
        <v>79</v>
      </c>
    </row>
    <row r="28" spans="1:6" x14ac:dyDescent="0.5">
      <c r="A28">
        <v>1</v>
      </c>
      <c r="B28" t="s">
        <v>6</v>
      </c>
      <c r="C28">
        <v>80</v>
      </c>
      <c r="D28">
        <v>78</v>
      </c>
      <c r="E28">
        <v>82</v>
      </c>
      <c r="F28">
        <v>80</v>
      </c>
    </row>
    <row r="29" spans="1:6" x14ac:dyDescent="0.5">
      <c r="A29">
        <v>50</v>
      </c>
      <c r="B29" t="s">
        <v>55</v>
      </c>
      <c r="C29">
        <v>80</v>
      </c>
      <c r="D29">
        <v>82</v>
      </c>
      <c r="E29">
        <v>78</v>
      </c>
      <c r="F29">
        <v>81</v>
      </c>
    </row>
    <row r="30" spans="1:6" x14ac:dyDescent="0.5">
      <c r="A30">
        <v>21</v>
      </c>
      <c r="B30" t="s">
        <v>26</v>
      </c>
      <c r="C30">
        <v>80</v>
      </c>
      <c r="D30">
        <v>83</v>
      </c>
      <c r="E30">
        <v>78</v>
      </c>
      <c r="F30">
        <v>85</v>
      </c>
    </row>
    <row r="31" spans="1:6" x14ac:dyDescent="0.5">
      <c r="A31">
        <v>15</v>
      </c>
      <c r="B31" t="s">
        <v>20</v>
      </c>
      <c r="C31">
        <v>82</v>
      </c>
      <c r="D31">
        <v>84</v>
      </c>
      <c r="E31">
        <v>80</v>
      </c>
      <c r="F31">
        <v>81</v>
      </c>
    </row>
    <row r="32" spans="1:6" x14ac:dyDescent="0.5">
      <c r="A32">
        <v>35</v>
      </c>
      <c r="B32" t="s">
        <v>40</v>
      </c>
      <c r="C32">
        <v>82</v>
      </c>
      <c r="D32">
        <v>85</v>
      </c>
      <c r="E32">
        <v>80</v>
      </c>
      <c r="F32">
        <v>83</v>
      </c>
    </row>
    <row r="33" spans="1:6" x14ac:dyDescent="0.5">
      <c r="A33">
        <v>7</v>
      </c>
      <c r="B33" t="s">
        <v>12</v>
      </c>
      <c r="C33">
        <v>84</v>
      </c>
      <c r="D33">
        <v>82</v>
      </c>
      <c r="E33">
        <v>86</v>
      </c>
      <c r="F33">
        <v>83</v>
      </c>
    </row>
    <row r="34" spans="1:6" x14ac:dyDescent="0.5">
      <c r="A34">
        <v>45</v>
      </c>
      <c r="B34" t="s">
        <v>50</v>
      </c>
      <c r="C34">
        <v>84</v>
      </c>
      <c r="D34">
        <v>86</v>
      </c>
      <c r="E34">
        <v>82</v>
      </c>
      <c r="F34">
        <v>87</v>
      </c>
    </row>
    <row r="35" spans="1:6" x14ac:dyDescent="0.5">
      <c r="A35">
        <v>47</v>
      </c>
      <c r="B35" t="s">
        <v>52</v>
      </c>
      <c r="C35">
        <v>85</v>
      </c>
      <c r="D35">
        <v>87</v>
      </c>
      <c r="E35">
        <v>82</v>
      </c>
      <c r="F35">
        <v>85</v>
      </c>
    </row>
    <row r="36" spans="1:6" x14ac:dyDescent="0.5">
      <c r="A36">
        <v>17</v>
      </c>
      <c r="B36" t="s">
        <v>22</v>
      </c>
      <c r="C36">
        <v>85</v>
      </c>
      <c r="D36">
        <v>87</v>
      </c>
      <c r="E36">
        <v>83</v>
      </c>
      <c r="F36">
        <v>89</v>
      </c>
    </row>
    <row r="37" spans="1:6" x14ac:dyDescent="0.5">
      <c r="A37">
        <v>11</v>
      </c>
      <c r="B37" t="s">
        <v>16</v>
      </c>
      <c r="C37">
        <v>85</v>
      </c>
      <c r="D37">
        <v>89</v>
      </c>
      <c r="E37">
        <v>84</v>
      </c>
      <c r="F37">
        <v>86</v>
      </c>
    </row>
    <row r="38" spans="1:6" x14ac:dyDescent="0.5">
      <c r="A38">
        <v>39</v>
      </c>
      <c r="B38" t="s">
        <v>44</v>
      </c>
      <c r="C38">
        <v>88</v>
      </c>
      <c r="D38">
        <v>85</v>
      </c>
      <c r="E38">
        <v>90</v>
      </c>
      <c r="F38">
        <v>86</v>
      </c>
    </row>
    <row r="39" spans="1:6" x14ac:dyDescent="0.5">
      <c r="A39">
        <v>23</v>
      </c>
      <c r="B39" t="s">
        <v>28</v>
      </c>
      <c r="C39">
        <v>88</v>
      </c>
      <c r="D39">
        <v>86</v>
      </c>
      <c r="E39">
        <v>90</v>
      </c>
      <c r="F39">
        <v>91</v>
      </c>
    </row>
    <row r="40" spans="1:6" x14ac:dyDescent="0.5">
      <c r="A40">
        <v>25</v>
      </c>
      <c r="B40" t="s">
        <v>30</v>
      </c>
      <c r="C40">
        <v>88</v>
      </c>
      <c r="D40">
        <v>90</v>
      </c>
      <c r="E40">
        <v>86</v>
      </c>
      <c r="F40">
        <v>87</v>
      </c>
    </row>
    <row r="41" spans="1:6" x14ac:dyDescent="0.5">
      <c r="A41">
        <v>5</v>
      </c>
      <c r="B41" t="s">
        <v>10</v>
      </c>
      <c r="C41">
        <v>88</v>
      </c>
      <c r="D41">
        <v>91</v>
      </c>
      <c r="E41">
        <v>85</v>
      </c>
      <c r="F41">
        <v>94</v>
      </c>
    </row>
    <row r="42" spans="1:6" x14ac:dyDescent="0.5">
      <c r="A42">
        <v>31</v>
      </c>
      <c r="B42" t="s">
        <v>36</v>
      </c>
      <c r="C42">
        <v>90</v>
      </c>
      <c r="D42">
        <v>88</v>
      </c>
      <c r="E42">
        <v>92</v>
      </c>
      <c r="F42">
        <v>89</v>
      </c>
    </row>
    <row r="43" spans="1:6" x14ac:dyDescent="0.5">
      <c r="A43">
        <v>13</v>
      </c>
      <c r="B43" t="s">
        <v>18</v>
      </c>
      <c r="C43">
        <v>90</v>
      </c>
      <c r="D43">
        <v>91</v>
      </c>
      <c r="E43">
        <v>88</v>
      </c>
      <c r="F43">
        <v>93</v>
      </c>
    </row>
    <row r="44" spans="1:6" x14ac:dyDescent="0.5">
      <c r="A44">
        <v>43</v>
      </c>
      <c r="B44" t="s">
        <v>48</v>
      </c>
      <c r="C44">
        <v>90</v>
      </c>
      <c r="D44">
        <v>94</v>
      </c>
      <c r="E44">
        <v>88</v>
      </c>
      <c r="F44">
        <v>93</v>
      </c>
    </row>
    <row r="45" spans="1:6" x14ac:dyDescent="0.5">
      <c r="A45">
        <v>3</v>
      </c>
      <c r="B45" t="s">
        <v>8</v>
      </c>
      <c r="C45">
        <v>92</v>
      </c>
      <c r="D45">
        <v>90</v>
      </c>
      <c r="E45">
        <v>95</v>
      </c>
      <c r="F45">
        <v>90</v>
      </c>
    </row>
    <row r="46" spans="1:6" x14ac:dyDescent="0.5">
      <c r="A46">
        <v>37</v>
      </c>
      <c r="B46" t="s">
        <v>42</v>
      </c>
      <c r="C46">
        <v>92</v>
      </c>
      <c r="D46">
        <v>90</v>
      </c>
      <c r="E46">
        <v>94</v>
      </c>
      <c r="F46">
        <v>90</v>
      </c>
    </row>
    <row r="47" spans="1:6" x14ac:dyDescent="0.5">
      <c r="A47">
        <v>33</v>
      </c>
      <c r="B47" t="s">
        <v>38</v>
      </c>
      <c r="C47">
        <v>92</v>
      </c>
      <c r="D47">
        <v>94</v>
      </c>
      <c r="E47">
        <v>90</v>
      </c>
      <c r="F47">
        <v>94</v>
      </c>
    </row>
    <row r="48" spans="1:6" x14ac:dyDescent="0.5">
      <c r="A48">
        <v>9</v>
      </c>
      <c r="B48" t="s">
        <v>14</v>
      </c>
      <c r="C48">
        <v>95</v>
      </c>
      <c r="D48">
        <v>89</v>
      </c>
      <c r="E48">
        <v>92</v>
      </c>
      <c r="F48">
        <v>91</v>
      </c>
    </row>
    <row r="49" spans="1:6" x14ac:dyDescent="0.5">
      <c r="A49">
        <v>27</v>
      </c>
      <c r="B49" t="s">
        <v>32</v>
      </c>
      <c r="C49">
        <v>95</v>
      </c>
      <c r="D49">
        <v>92</v>
      </c>
      <c r="E49">
        <v>96</v>
      </c>
      <c r="F49">
        <v>93</v>
      </c>
    </row>
    <row r="50" spans="1:6" x14ac:dyDescent="0.5">
      <c r="A50">
        <v>49</v>
      </c>
      <c r="B50" t="s">
        <v>54</v>
      </c>
      <c r="C50">
        <v>95</v>
      </c>
      <c r="D50">
        <v>94</v>
      </c>
      <c r="E50">
        <v>96</v>
      </c>
      <c r="F50">
        <v>95</v>
      </c>
    </row>
    <row r="51" spans="1:6" x14ac:dyDescent="0.5">
      <c r="A51">
        <v>19</v>
      </c>
      <c r="B51" t="s">
        <v>24</v>
      </c>
      <c r="C51">
        <v>95</v>
      </c>
      <c r="D51">
        <v>96</v>
      </c>
      <c r="E51">
        <v>93</v>
      </c>
      <c r="F51">
        <v>94</v>
      </c>
    </row>
  </sheetData>
  <sortState xmlns:xlrd2="http://schemas.microsoft.com/office/spreadsheetml/2017/richdata2" ref="C2:E51">
    <sortCondition ref="C2:C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vemuriexcel@outlook.com</cp:lastModifiedBy>
  <dcterms:created xsi:type="dcterms:W3CDTF">2026-09-08T08:17:58Z</dcterms:created>
  <dcterms:modified xsi:type="dcterms:W3CDTF">2026-09-10T00:32:40Z</dcterms:modified>
</cp:coreProperties>
</file>